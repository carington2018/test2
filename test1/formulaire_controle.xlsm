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lexTagne\Desktop\test1\"/>
    </mc:Choice>
  </mc:AlternateContent>
  <xr:revisionPtr revIDLastSave="0" documentId="13_ncr:1_{4E72E818-4640-46E1-956A-70FCFD583B68}" xr6:coauthVersionLast="36" xr6:coauthVersionMax="43" xr10:uidLastSave="{00000000-0000-0000-0000-000000000000}"/>
  <bookViews>
    <workbookView xWindow="0" yWindow="0" windowWidth="20490" windowHeight="7545" tabRatio="0" firstSheet="8" activeTab="8" xr2:uid="{E0D913A0-6AC5-40D2-A7AA-FD6B2B5A4361}"/>
  </bookViews>
  <sheets>
    <sheet name="Feuil1" sheetId="1" state="hidden" r:id="rId1"/>
    <sheet name="ACCUEIL" sheetId="27" r:id="rId2"/>
    <sheet name="MENU_ADMIN" sheetId="11" r:id="rId3"/>
    <sheet name="MENU_USER" sheetId="26" state="veryHidden" r:id="rId4"/>
    <sheet name="Login" sheetId="25" state="veryHidden" r:id="rId5"/>
    <sheet name="MEMBRES" sheetId="24" r:id="rId6"/>
    <sheet name="Feuil2" sheetId="23" state="veryHidden" r:id="rId7"/>
    <sheet name="CALCUL" sheetId="22" state="veryHidden" r:id="rId8"/>
    <sheet name="TABLO_2_BORD" sheetId="12" r:id="rId9"/>
    <sheet name="MASSE_SALARIALE" sheetId="10" r:id="rId10"/>
    <sheet name="Histoire_MASSE_SALARIALE" sheetId="20" r:id="rId11"/>
    <sheet name="BDC_LOT_N°_1" sheetId="4" r:id="rId12"/>
    <sheet name="BDC_LOT_N°_2" sheetId="5" r:id="rId13"/>
    <sheet name="BDC_LOT_N°_3" sheetId="6" r:id="rId14"/>
    <sheet name="BDC_LOT_N°_4" sheetId="7" r:id="rId15"/>
    <sheet name="BDC_LOT_N°_5" sheetId="9" r:id="rId16"/>
    <sheet name="BDC_PRESALAIRE_LOT_N°_6" sheetId="3" r:id="rId17"/>
  </sheets>
  <definedNames>
    <definedName name="ChronologieNative_DATE_PERIODE__N">#N/A</definedName>
    <definedName name="ChronologieNative_DATE_PERIODE__N_1">#N/A</definedName>
    <definedName name="_xlnm.Print_Area" localSheetId="11">BDC_LOT_N°_1!$A$1:$I$41</definedName>
    <definedName name="_xlnm.Print_Area" localSheetId="12">BDC_LOT_N°_2!$A$1:$I$33</definedName>
    <definedName name="_xlnm.Print_Area" localSheetId="13">BDC_LOT_N°_3!$A$1:$I$33</definedName>
    <definedName name="_xlnm.Print_Area" localSheetId="14">BDC_LOT_N°_4!$A$1:$I$35</definedName>
    <definedName name="_xlnm.Print_Area" localSheetId="15">BDC_LOT_N°_5!$A$1:$H$38</definedName>
    <definedName name="_xlnm.Print_Area" localSheetId="16">BDC_PRESALAIRE_LOT_N°_6!$A$1:$H$52</definedName>
    <definedName name="_xlnm.Print_Area" localSheetId="2">MENU_ADMIN!$C$1:$V$34</definedName>
    <definedName name="_xlnm.Print_Area" localSheetId="3">MENU_USER!$C$1:$V$34</definedName>
  </definedNames>
  <calcPr calcId="191029"/>
  <pivotCaches>
    <pivotCache cacheId="0" r:id="rId1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9"/>
        <x15:timelineCacheRef r:id="rId2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3" i="12" l="1"/>
  <c r="Y44" i="12"/>
  <c r="Y42" i="12"/>
  <c r="X43" i="12"/>
  <c r="X44" i="12"/>
  <c r="X42" i="12"/>
  <c r="Q44" i="12" l="1"/>
  <c r="Q43" i="12"/>
  <c r="Q42" i="12"/>
  <c r="Q41" i="12"/>
  <c r="Q40" i="12"/>
  <c r="Q39" i="12"/>
  <c r="Q38" i="12"/>
  <c r="Q37" i="12"/>
  <c r="Q36" i="12"/>
  <c r="Q35" i="12"/>
  <c r="O44" i="12"/>
  <c r="O43" i="12"/>
  <c r="O42" i="12"/>
  <c r="O41" i="12"/>
  <c r="O40" i="12"/>
  <c r="O39" i="12"/>
  <c r="O38" i="12"/>
  <c r="O37" i="12"/>
  <c r="O36" i="12"/>
  <c r="O35" i="12"/>
  <c r="Q30" i="12"/>
  <c r="Q29" i="12"/>
  <c r="Q28" i="12"/>
  <c r="Q27" i="12"/>
  <c r="Q26" i="12"/>
  <c r="Q25" i="12"/>
  <c r="Q24" i="12"/>
  <c r="Q23" i="12"/>
  <c r="Q22" i="12"/>
  <c r="Q21" i="12"/>
  <c r="O30" i="12"/>
  <c r="O29" i="12"/>
  <c r="O28" i="12"/>
  <c r="O27" i="12"/>
  <c r="O26" i="12"/>
  <c r="O25" i="12"/>
  <c r="O24" i="12"/>
  <c r="O23" i="12"/>
  <c r="O22" i="12"/>
  <c r="O21" i="12"/>
  <c r="C10" i="12"/>
  <c r="C9" i="12"/>
  <c r="P3" i="20" l="1"/>
  <c r="AI3" i="20"/>
  <c r="AT3" i="20"/>
  <c r="BG3" i="20"/>
  <c r="BW3" i="20"/>
  <c r="DA3" i="20"/>
  <c r="DD3" i="20"/>
  <c r="DG3" i="20"/>
  <c r="P2" i="20"/>
  <c r="AI2" i="20"/>
  <c r="AT2" i="20"/>
  <c r="BG2" i="20"/>
  <c r="BW2" i="20"/>
  <c r="DA2" i="20"/>
  <c r="DD2" i="20"/>
  <c r="DG2" i="20"/>
  <c r="E17" i="12"/>
  <c r="E16" i="12"/>
  <c r="E15" i="12"/>
  <c r="E14" i="12"/>
  <c r="E13" i="12"/>
  <c r="E12" i="12"/>
  <c r="E11" i="12"/>
  <c r="E10" i="12"/>
  <c r="E9" i="12"/>
  <c r="E8" i="12"/>
  <c r="C17" i="12"/>
  <c r="C16" i="12"/>
  <c r="C15" i="12"/>
  <c r="C14" i="12"/>
  <c r="C13" i="12"/>
  <c r="C12" i="12"/>
  <c r="C11" i="12"/>
  <c r="C8" i="12"/>
  <c r="F10" i="23"/>
  <c r="F11" i="23"/>
  <c r="F12" i="23"/>
  <c r="F13" i="23"/>
  <c r="F14" i="23"/>
  <c r="F15" i="23"/>
  <c r="F16" i="23"/>
  <c r="F17" i="23"/>
  <c r="F9" i="23"/>
  <c r="D7" i="10"/>
  <c r="D51" i="3"/>
  <c r="D37" i="9"/>
  <c r="E34" i="7"/>
  <c r="E32" i="6"/>
  <c r="E32" i="5"/>
  <c r="A3" i="10"/>
  <c r="C4" i="10" s="1"/>
  <c r="C16" i="9"/>
  <c r="D14" i="9" s="1"/>
  <c r="D16" i="7"/>
  <c r="E14" i="7" s="1"/>
  <c r="D16" i="6"/>
  <c r="E14" i="6" s="1"/>
  <c r="D16" i="5"/>
  <c r="E14" i="5" s="1"/>
  <c r="E40" i="4"/>
  <c r="D16" i="4"/>
  <c r="E14" i="4" s="1"/>
  <c r="C16" i="3"/>
  <c r="D15" i="3" s="1"/>
  <c r="B23" i="1"/>
  <c r="I1" i="1" s="1"/>
  <c r="B35" i="1"/>
  <c r="J1" i="1" s="1"/>
  <c r="B47" i="1"/>
  <c r="K1" i="1" s="1"/>
  <c r="B76" i="1"/>
  <c r="L1" i="1" s="1"/>
  <c r="B108" i="1"/>
  <c r="M1" i="1" s="1"/>
  <c r="N1" i="1" l="1"/>
  <c r="IQ10" i="22"/>
  <c r="V42" i="12"/>
  <c r="IQ23" i="22"/>
  <c r="EW16" i="22"/>
  <c r="IQ9" i="22"/>
  <c r="C44" i="12"/>
  <c r="EW12" i="22"/>
  <c r="IQ6" i="22"/>
  <c r="IQ5" i="22"/>
  <c r="IQ15" i="22"/>
  <c r="EW31" i="22"/>
  <c r="EW22" i="22"/>
  <c r="EW9" i="22"/>
  <c r="IQ4" i="22"/>
  <c r="EW18" i="22"/>
  <c r="IQ13" i="22"/>
  <c r="IQ29" i="22"/>
  <c r="GE15" i="22"/>
  <c r="J43" i="12"/>
  <c r="EW49" i="22"/>
  <c r="IQ14" i="22"/>
  <c r="EW51" i="22"/>
  <c r="J22" i="12"/>
  <c r="EW46" i="22"/>
  <c r="EW38" i="22"/>
  <c r="IQ28" i="22"/>
  <c r="EW14" i="22"/>
  <c r="GE14" i="22"/>
  <c r="IQ22" i="22"/>
  <c r="V43" i="12"/>
  <c r="C43" i="12"/>
  <c r="EW5" i="22"/>
  <c r="EW50" i="22"/>
  <c r="EW35" i="22"/>
  <c r="C41" i="12"/>
  <c r="EW34" i="22"/>
  <c r="C40" i="12"/>
  <c r="GE12" i="22"/>
  <c r="GE10" i="22"/>
  <c r="J44" i="12"/>
  <c r="EW27" i="22"/>
  <c r="C42" i="12"/>
  <c r="EW30" i="22"/>
  <c r="GE9" i="22"/>
  <c r="EW37" i="22"/>
  <c r="EW19" i="22"/>
  <c r="ER35" i="22"/>
  <c r="IQ12" i="22"/>
  <c r="GE13" i="22"/>
  <c r="EW8" i="22"/>
  <c r="IQ21" i="22"/>
  <c r="EW42" i="22"/>
  <c r="GE11" i="22"/>
  <c r="GE8" i="22"/>
  <c r="IQ27" i="22"/>
  <c r="GE7" i="22"/>
  <c r="EW39" i="22"/>
  <c r="EW10" i="22"/>
  <c r="EW25" i="22"/>
  <c r="GE5" i="22"/>
  <c r="IQ8" i="22"/>
  <c r="EW28" i="22"/>
  <c r="EW6" i="22"/>
  <c r="IQ26" i="22"/>
  <c r="IQ30" i="22"/>
  <c r="EW45" i="22"/>
  <c r="EW7" i="22"/>
  <c r="IQ20" i="22"/>
  <c r="GE6" i="22"/>
  <c r="EW23" i="22"/>
  <c r="EW32" i="22"/>
  <c r="EW13" i="22"/>
  <c r="EW15" i="22"/>
  <c r="IQ25" i="22"/>
  <c r="IQ16" i="22"/>
  <c r="EW17" i="22"/>
  <c r="GE16" i="22"/>
  <c r="EW11" i="22"/>
  <c r="J24" i="12"/>
  <c r="IQ17" i="22"/>
  <c r="EW21" i="22"/>
  <c r="EW43" i="22"/>
  <c r="EW47" i="22"/>
  <c r="C39" i="12"/>
  <c r="EW26" i="22"/>
  <c r="EW20" i="22"/>
  <c r="IQ19" i="22"/>
  <c r="IQ7" i="22"/>
  <c r="IQ11" i="22"/>
  <c r="IQ24" i="22"/>
  <c r="V44" i="12"/>
  <c r="EW41" i="22"/>
  <c r="EW29" i="22"/>
  <c r="J23" i="12"/>
  <c r="EW48" i="22"/>
  <c r="EW40" i="22"/>
  <c r="EW33" i="22"/>
  <c r="EW36" i="22"/>
  <c r="IQ18" i="22"/>
  <c r="EW44" i="22"/>
  <c r="EW24" i="22"/>
  <c r="J42" i="12"/>
  <c r="ER16" i="22"/>
  <c r="D44" i="12"/>
  <c r="IN26" i="22"/>
  <c r="GB13" i="22"/>
  <c r="IN22" i="22"/>
  <c r="GB14" i="22"/>
  <c r="ER29" i="22"/>
  <c r="IN19" i="22"/>
  <c r="K22" i="12"/>
  <c r="GB16" i="22"/>
  <c r="ER22" i="22"/>
  <c r="ER46" i="22"/>
  <c r="K44" i="12"/>
  <c r="GB11" i="22"/>
  <c r="ER14" i="22"/>
  <c r="ER42" i="22"/>
  <c r="W44" i="12"/>
  <c r="ER36" i="22"/>
  <c r="IN5" i="22"/>
  <c r="ER23" i="22"/>
  <c r="IN17" i="22"/>
  <c r="ER34" i="22"/>
  <c r="ER5" i="22"/>
  <c r="IN10" i="22"/>
  <c r="IN14" i="22"/>
  <c r="IN15" i="22"/>
  <c r="GB12" i="22"/>
  <c r="ER19" i="22"/>
  <c r="ER11" i="22"/>
  <c r="K42" i="12"/>
  <c r="ER15" i="22"/>
  <c r="ER28" i="22"/>
  <c r="ER17" i="22"/>
  <c r="D41" i="12"/>
  <c r="ER6" i="22"/>
  <c r="IN28" i="22"/>
  <c r="D39" i="12"/>
  <c r="ER7" i="22"/>
  <c r="GB6" i="22"/>
  <c r="IN20" i="22"/>
  <c r="ER13" i="22"/>
  <c r="IN7" i="22"/>
  <c r="ER12" i="22"/>
  <c r="GB15" i="22"/>
  <c r="IN23" i="22"/>
  <c r="IN16" i="22"/>
  <c r="ER50" i="22"/>
  <c r="ER47" i="22"/>
  <c r="GB5" i="22"/>
  <c r="ER40" i="22"/>
  <c r="ER18" i="22"/>
  <c r="IN8" i="22"/>
  <c r="IN30" i="22"/>
  <c r="GB10" i="22"/>
  <c r="ER41" i="22"/>
  <c r="D40" i="12"/>
  <c r="IN24" i="22"/>
  <c r="ER26" i="22"/>
  <c r="ER21" i="22"/>
  <c r="K43" i="12"/>
  <c r="IN6" i="22"/>
  <c r="ER43" i="22"/>
  <c r="GB8" i="22"/>
  <c r="ER37" i="22"/>
  <c r="ER32" i="22"/>
  <c r="IN25" i="22"/>
  <c r="ER39" i="22"/>
  <c r="ER20" i="22"/>
  <c r="W42" i="12"/>
  <c r="ER45" i="22"/>
  <c r="ER49" i="22"/>
  <c r="ER38" i="22"/>
  <c r="IN4" i="22"/>
  <c r="ER24" i="22"/>
  <c r="IN12" i="22"/>
  <c r="ER31" i="22"/>
  <c r="IN18" i="22"/>
  <c r="ER10" i="22"/>
  <c r="GB9" i="22"/>
  <c r="ER33" i="22"/>
  <c r="ER44" i="22"/>
  <c r="IN11" i="22"/>
  <c r="IN9" i="22"/>
  <c r="IN13" i="22"/>
  <c r="K24" i="12"/>
  <c r="ER30" i="22"/>
  <c r="IN21" i="22"/>
  <c r="ER48" i="22"/>
  <c r="ER25" i="22"/>
  <c r="W43" i="12"/>
  <c r="D42" i="12"/>
  <c r="IN29" i="22"/>
  <c r="GB7" i="22"/>
  <c r="ER8" i="22"/>
  <c r="ER9" i="22"/>
  <c r="ER51" i="22"/>
  <c r="IN27" i="22"/>
  <c r="K23" i="12"/>
  <c r="D43" i="12"/>
  <c r="ER27" i="22"/>
  <c r="L23" i="12" l="1"/>
  <c r="M23" i="12" s="1"/>
  <c r="R25" i="12"/>
  <c r="P24" i="12"/>
  <c r="D16" i="12"/>
  <c r="E43" i="12"/>
  <c r="F43" i="12" s="1"/>
  <c r="R24" i="12"/>
  <c r="P43" i="12"/>
  <c r="F10" i="12"/>
  <c r="R27" i="12"/>
  <c r="R38" i="12"/>
  <c r="R29" i="12"/>
  <c r="E42" i="12"/>
  <c r="F42" i="12" s="1"/>
  <c r="F9" i="12"/>
  <c r="D12" i="12"/>
  <c r="L24" i="12"/>
  <c r="M24" i="12" s="1"/>
  <c r="R23" i="12"/>
  <c r="D13" i="12"/>
  <c r="E39" i="12"/>
  <c r="F39" i="12" s="1"/>
  <c r="D15" i="12"/>
  <c r="P42" i="12"/>
  <c r="R22" i="12"/>
  <c r="P38" i="12"/>
  <c r="E41" i="12"/>
  <c r="F41" i="12" s="1"/>
  <c r="R39" i="12"/>
  <c r="R42" i="12"/>
  <c r="L42" i="12"/>
  <c r="M42" i="12" s="1"/>
  <c r="F12" i="12"/>
  <c r="G12" i="12" s="1"/>
  <c r="R28" i="12"/>
  <c r="R26" i="12"/>
  <c r="P21" i="12"/>
  <c r="R43" i="12"/>
  <c r="S43" i="12" s="1"/>
  <c r="F16" i="12"/>
  <c r="R44" i="12"/>
  <c r="D17" i="12"/>
  <c r="R35" i="12"/>
  <c r="R41" i="12"/>
  <c r="P30" i="12"/>
  <c r="P27" i="12"/>
  <c r="R21" i="12"/>
  <c r="S21" i="12" s="1"/>
  <c r="R36" i="12"/>
  <c r="R30" i="12"/>
  <c r="F11" i="12"/>
  <c r="R37" i="12"/>
  <c r="F14" i="12"/>
  <c r="L43" i="12"/>
  <c r="M43" i="12" s="1"/>
  <c r="P29" i="12"/>
  <c r="L44" i="12"/>
  <c r="M44" i="12" s="1"/>
  <c r="D9" i="12"/>
  <c r="P44" i="12"/>
  <c r="S44" i="12" s="1"/>
  <c r="P23" i="12"/>
  <c r="E40" i="12"/>
  <c r="F40" i="12" s="1"/>
  <c r="P35" i="12"/>
  <c r="P25" i="12"/>
  <c r="S25" i="12" s="1"/>
  <c r="L22" i="12"/>
  <c r="M22" i="12" s="1"/>
  <c r="P22" i="12"/>
  <c r="S22" i="12" s="1"/>
  <c r="F13" i="12"/>
  <c r="R40" i="12"/>
  <c r="P39" i="12"/>
  <c r="P36" i="12"/>
  <c r="S36" i="12" s="1"/>
  <c r="F17" i="12"/>
  <c r="D8" i="12"/>
  <c r="P37" i="12"/>
  <c r="F8" i="12"/>
  <c r="P28" i="12"/>
  <c r="F15" i="12"/>
  <c r="G15" i="12" s="1"/>
  <c r="P26" i="12"/>
  <c r="P40" i="12"/>
  <c r="S40" i="12" s="1"/>
  <c r="D10" i="12"/>
  <c r="E44" i="12"/>
  <c r="F44" i="12" s="1"/>
  <c r="D11" i="12"/>
  <c r="D14" i="12"/>
  <c r="G14" i="12" s="1"/>
  <c r="P41" i="12"/>
  <c r="S37" i="12"/>
  <c r="G17" i="12"/>
  <c r="S42" i="12"/>
  <c r="S38" i="12"/>
  <c r="S41" i="12"/>
  <c r="S39" i="12"/>
  <c r="S29" i="12"/>
  <c r="S26" i="12"/>
  <c r="S28" i="12"/>
  <c r="S24" i="12"/>
  <c r="S27" i="12"/>
  <c r="S23" i="12"/>
  <c r="G11" i="12"/>
  <c r="G9" i="12"/>
  <c r="G8" i="12"/>
  <c r="G10" i="12"/>
  <c r="S35" i="12" l="1"/>
  <c r="S30" i="12"/>
  <c r="G13" i="12"/>
  <c r="G16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200</author>
  </authors>
  <commentList>
    <comment ref="C4" authorId="0" shapeId="0" xr:uid="{11DC9624-826F-473B-89E1-B9021F9C4D49}">
      <text>
        <r>
          <rPr>
            <b/>
            <sz val="9"/>
            <color indexed="81"/>
            <rFont val="Tahoma"/>
            <family val="2"/>
          </rPr>
          <t>200: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Garamond"/>
            <family val="1"/>
          </rPr>
          <t>LA DATE S'AUTO INCREMENTE. PRIERE DE NE PAS INSCRIRE DES DONNEES OU DE MODIFIER LE CONTENU DE CETTE CELLULE SANS L'AUTORISATION DU CREATEUR DE CETTE BASE.
MERCI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200</author>
  </authors>
  <commentList>
    <comment ref="E14" authorId="0" shapeId="0" xr:uid="{C5DDAA08-BA33-422B-AAE6-D8B84F5EBD94}">
      <text>
        <r>
          <rPr>
            <b/>
            <sz val="9"/>
            <color indexed="81"/>
            <rFont val="Tahoma"/>
            <family val="2"/>
          </rPr>
          <t>200: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Garamond"/>
            <family val="1"/>
          </rPr>
          <t>LA DATE S'AUTO INCREMENTE. PRIERE DE NE PAS INSCRIRE DES DONNEES OU DE MODIFIER LE CONTENU DE CETTE CELLULE SANS L'AUTORISATION DU CREATEUR DE CETTE BASE.
MERCI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200</author>
  </authors>
  <commentList>
    <comment ref="E14" authorId="0" shapeId="0" xr:uid="{F7F8DCD9-A31E-47EF-AB3D-0B12F34DDE04}">
      <text>
        <r>
          <rPr>
            <b/>
            <sz val="9"/>
            <color indexed="81"/>
            <rFont val="Garamond"/>
            <family val="1"/>
          </rPr>
          <t>200:
LA DATE S'AUTO INCREMENTE. PRIERE DE NE PAS INSCRIRE DES DONNEES OU DE MODIFIER LE CONTENU DE CETTE CELLULE SANS L'AUTORISATION DU CREATEUR DE CETTE BASE.
MERCI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200</author>
  </authors>
  <commentList>
    <comment ref="E14" authorId="0" shapeId="0" xr:uid="{29FF6194-4DE2-43E7-B9AB-5FE5B62545D4}">
      <text>
        <r>
          <rPr>
            <b/>
            <sz val="9"/>
            <color indexed="81"/>
            <rFont val="Garamond"/>
            <family val="1"/>
          </rPr>
          <t>200:
LA DATE S'AUTO INCREMENTE. PRIERE DE NE PAS INSCRIRE DES DONNEES OU DE MODIFIER LE CONTENU DE CETTE CELLULE SANS L'AUTORISATION DU CREATEUR DE CETTE BASE.
MERCI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200</author>
  </authors>
  <commentList>
    <comment ref="E14" authorId="0" shapeId="0" xr:uid="{2989616A-D83B-4F76-8CCA-2BA9D45B74A8}">
      <text>
        <r>
          <rPr>
            <b/>
            <sz val="9"/>
            <color indexed="81"/>
            <rFont val="Tahoma"/>
            <family val="2"/>
          </rPr>
          <t>200: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Garamond"/>
            <family val="1"/>
          </rPr>
          <t>LA DATE S'AUTO INCREMENTE. PRIERE DE NE PAS INSCRIRE DES DONNEES OU DE MODIFIER LE CONTENU DE CETTE CELLULE SANS L'AUTORISATION DU CREATEUR DE CETTE BASE.
MERCI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200</author>
  </authors>
  <commentList>
    <comment ref="D14" authorId="0" shapeId="0" xr:uid="{4F4B5306-6B76-48C1-8EB8-D59DECDD9830}">
      <text>
        <r>
          <rPr>
            <b/>
            <sz val="9"/>
            <color indexed="81"/>
            <rFont val="Tahoma"/>
            <family val="2"/>
          </rPr>
          <t>200: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Garamond"/>
            <family val="1"/>
          </rPr>
          <t>LA DATE S'AUTO INCREMENTE. PRIERE DE NE PAS INSCRIRE DES DONNEES OU DE MODIFIER LE CONTENU DE CETTE CELLULE SANS L'AUTORISATION DU CREATEUR DE CETTE BASE.
MERCI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200</author>
  </authors>
  <commentList>
    <comment ref="D15" authorId="0" shapeId="0" xr:uid="{3B1A960D-456F-4B0C-B06E-2BAF55A61865}">
      <text>
        <r>
          <rPr>
            <b/>
            <sz val="9"/>
            <color indexed="81"/>
            <rFont val="Garamond"/>
            <family val="1"/>
          </rPr>
          <t>200:
LA DATE S'AUTO INCREMENTE. PRIERE DE NE PAS INSCRIRE DES DONNEES OU DE MODIFIER LE CONTENU DE CETTE CELLULE SANS L'AUTORISATION DU CREATEUR DE CETTE BASE.
MERCI</t>
        </r>
      </text>
    </comment>
  </commentList>
</comments>
</file>

<file path=xl/sharedStrings.xml><?xml version="1.0" encoding="utf-8"?>
<sst xmlns="http://schemas.openxmlformats.org/spreadsheetml/2006/main" count="1012" uniqueCount="362">
  <si>
    <t>Lot n°1</t>
  </si>
  <si>
    <t>Nbr des BDC</t>
  </si>
  <si>
    <t>Présidence</t>
  </si>
  <si>
    <t xml:space="preserve">Assemblée </t>
  </si>
  <si>
    <t>Contrôle d'Etat</t>
  </si>
  <si>
    <t>Sénat</t>
  </si>
  <si>
    <t>Primature</t>
  </si>
  <si>
    <t xml:space="preserve">Relation avec les Assemblées </t>
  </si>
  <si>
    <t>Conseil National de la Communication</t>
  </si>
  <si>
    <t>Affaires Etrangères</t>
  </si>
  <si>
    <t>Hauts fonctionnaires</t>
  </si>
  <si>
    <t>Défense Nationale</t>
  </si>
  <si>
    <t>Garde Républicaine</t>
  </si>
  <si>
    <t>Gendarmerie Nationale</t>
  </si>
  <si>
    <t>Forces Terrestres et Navales</t>
  </si>
  <si>
    <t>Marine Nationale</t>
  </si>
  <si>
    <t>ALA</t>
  </si>
  <si>
    <t>Forces Armées Gabonaises</t>
  </si>
  <si>
    <t>Bataillon des Sapeurs-Pompiers</t>
  </si>
  <si>
    <t xml:space="preserve">Cour Constitutionnelle </t>
  </si>
  <si>
    <t xml:space="preserve">Forces de Police Nationale </t>
  </si>
  <si>
    <t>TOTAL</t>
  </si>
  <si>
    <t>Lot n°2</t>
  </si>
  <si>
    <t>Justice</t>
  </si>
  <si>
    <t>Intérieur</t>
  </si>
  <si>
    <t>Sécurité Pénitentiaire</t>
  </si>
  <si>
    <r>
      <t>Budget</t>
    </r>
    <r>
      <rPr>
        <b/>
        <sz val="16"/>
        <color rgb="FFFF0000"/>
        <rFont val="Calibri"/>
        <family val="2"/>
        <scheme val="minor"/>
      </rPr>
      <t>/Finances</t>
    </r>
  </si>
  <si>
    <t>Commerce</t>
  </si>
  <si>
    <t>Economie</t>
  </si>
  <si>
    <t>Communication</t>
  </si>
  <si>
    <t xml:space="preserve">Fonction publique </t>
  </si>
  <si>
    <t>Agriculture</t>
  </si>
  <si>
    <t>Lot n°3</t>
  </si>
  <si>
    <t>Eaux et Forêts</t>
  </si>
  <si>
    <t>Mines et Energie</t>
  </si>
  <si>
    <t>Pétrole et Hydrocarbures</t>
  </si>
  <si>
    <t>Travaux Publics/Equipement et Construction</t>
  </si>
  <si>
    <t>Habitat/Cadastre</t>
  </si>
  <si>
    <t xml:space="preserve"> Domaine</t>
  </si>
  <si>
    <t xml:space="preserve">Transports </t>
  </si>
  <si>
    <t xml:space="preserve">Marine Marchande </t>
  </si>
  <si>
    <t>Lot n°4</t>
  </si>
  <si>
    <t>Education Nationale 1</t>
  </si>
  <si>
    <t>Education Nationale 2</t>
  </si>
  <si>
    <t>Formation Professionnelle</t>
  </si>
  <si>
    <t>Jeunesse et Sports</t>
  </si>
  <si>
    <t>Enseignement Supérieur</t>
  </si>
  <si>
    <t>Culture et Arts</t>
  </si>
  <si>
    <t xml:space="preserve">   </t>
  </si>
  <si>
    <t>Recherche Scientifique</t>
  </si>
  <si>
    <t>Santé Publique</t>
  </si>
  <si>
    <t>Travail et Emploi</t>
  </si>
  <si>
    <t>Affaires Sociales</t>
  </si>
  <si>
    <t>Stages</t>
  </si>
  <si>
    <t>Bons de caisse 101</t>
  </si>
  <si>
    <t>Présalaires</t>
  </si>
  <si>
    <t>Education Nationale 3</t>
  </si>
  <si>
    <t>Education Nationale 4</t>
  </si>
  <si>
    <t>Fonction Publique</t>
  </si>
  <si>
    <t>Eaux et Energie</t>
  </si>
  <si>
    <t>Mines</t>
  </si>
  <si>
    <t>Douanes</t>
  </si>
  <si>
    <t>Tresor</t>
  </si>
  <si>
    <t>DGCPT</t>
  </si>
  <si>
    <t>DGCC</t>
  </si>
  <si>
    <t>Impots</t>
  </si>
  <si>
    <t>DG Budget</t>
  </si>
  <si>
    <t>Direction de la solde</t>
  </si>
  <si>
    <t>DG Economie</t>
  </si>
  <si>
    <t>Coopération Cubaine bdc 188</t>
  </si>
  <si>
    <t>BIENVENUE SUR LA PLATE FORME DU SERVICE CONTRÔLE DE GESTION</t>
  </si>
  <si>
    <t>DATE MASSE</t>
  </si>
  <si>
    <t>MONTANT PERMANENT</t>
  </si>
  <si>
    <t>MONTANT PRESALAIRE</t>
  </si>
  <si>
    <t>MONTANT MASSE TOTAL</t>
  </si>
  <si>
    <t>Date lot 2</t>
  </si>
  <si>
    <t>Intéreur</t>
  </si>
  <si>
    <t>Forces de Police Nationale</t>
  </si>
  <si>
    <t>Sécurité Pénitentiare</t>
  </si>
  <si>
    <t>Budget/Finances</t>
  </si>
  <si>
    <t>Total BDC LOT 2</t>
  </si>
  <si>
    <t>Date lot 1</t>
  </si>
  <si>
    <t>Assemblée</t>
  </si>
  <si>
    <t>Relation avec les Assemblées</t>
  </si>
  <si>
    <t>Gendamerie Nationale</t>
  </si>
  <si>
    <t>Cour Constitutionnelle</t>
  </si>
  <si>
    <t>Total LOT 1</t>
  </si>
  <si>
    <t>Date LOT 3</t>
  </si>
  <si>
    <t>Hauts Fonctionnaires</t>
  </si>
  <si>
    <t>Travaux Publics Equipement et Construction</t>
  </si>
  <si>
    <t>Habitat et Cadastre</t>
  </si>
  <si>
    <t>Domaine</t>
  </si>
  <si>
    <t>Transport</t>
  </si>
  <si>
    <t>Marine Marchande</t>
  </si>
  <si>
    <t>Total LOT 3</t>
  </si>
  <si>
    <t>Date LOT 4</t>
  </si>
  <si>
    <t>Affaire Sociales</t>
  </si>
  <si>
    <t>Total LOT 4</t>
  </si>
  <si>
    <t>Date LOT 5</t>
  </si>
  <si>
    <t>107</t>
  </si>
  <si>
    <t>184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</si>
  <si>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</si>
  <si>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</si>
  <si>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</si>
  <si>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</si>
  <si>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</si>
  <si>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</si>
  <si>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</si>
  <si>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</si>
  <si>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</si>
  <si>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198</t>
  </si>
  <si>
    <t>199</t>
  </si>
  <si>
    <t>Total BDC SPE. LOT 5</t>
  </si>
  <si>
    <t>Date LOT 6</t>
  </si>
  <si>
    <t>Education   Nationale 1</t>
  </si>
  <si>
    <t>Education   Nationale 2</t>
  </si>
  <si>
    <t>Education   Nationale 3</t>
  </si>
  <si>
    <t>Education   Nationale 4</t>
  </si>
  <si>
    <t>Jeunesse et Sports2</t>
  </si>
  <si>
    <t>Enseignement Supérieur3</t>
  </si>
  <si>
    <t>Santé Publique4</t>
  </si>
  <si>
    <t>Fonction Publique5</t>
  </si>
  <si>
    <t>Recherche Scientifique6</t>
  </si>
  <si>
    <t>Eaux et Forêts7</t>
  </si>
  <si>
    <t>Commerce8</t>
  </si>
  <si>
    <t>Economie9</t>
  </si>
  <si>
    <t>Coopération   Cubaine bdc 188</t>
  </si>
  <si>
    <t>178</t>
  </si>
  <si>
    <t>184.</t>
  </si>
  <si>
    <t>187.</t>
  </si>
  <si>
    <t>190.</t>
  </si>
  <si>
    <t>193.</t>
  </si>
  <si>
    <t>Total PRES. LOT 6</t>
  </si>
  <si>
    <t>BDC 187</t>
  </si>
  <si>
    <t>BDC 187 régul.</t>
  </si>
  <si>
    <t>BDC 187 non régul.</t>
  </si>
  <si>
    <t>BDC 191</t>
  </si>
  <si>
    <t>BDC 191 régul</t>
  </si>
  <si>
    <t>BDC 191 non régul.</t>
  </si>
  <si>
    <t>DATE PERIODE (N-1)</t>
  </si>
  <si>
    <t>DATE PERIODE (N)</t>
  </si>
  <si>
    <t>Nombre BDC Solde</t>
  </si>
  <si>
    <t>PERIODE (N)</t>
  </si>
  <si>
    <t>PERIODE N</t>
  </si>
  <si>
    <t>PERIODE N-1</t>
  </si>
  <si>
    <t>Étiquettes de lignes</t>
  </si>
  <si>
    <t xml:space="preserve"> MONTANT MASSE TOTAL</t>
  </si>
  <si>
    <t xml:space="preserve"> MONTANT PERMANENT</t>
  </si>
  <si>
    <t xml:space="preserve"> MONTANT PRESALAIRE</t>
  </si>
  <si>
    <t xml:space="preserve"> Total LOT 1</t>
  </si>
  <si>
    <t xml:space="preserve"> Total BDC LOT 2</t>
  </si>
  <si>
    <t xml:space="preserve"> Total LOT 3</t>
  </si>
  <si>
    <t xml:space="preserve"> Total LOT 4</t>
  </si>
  <si>
    <t xml:space="preserve"> Total BDC SPE. LOT 5</t>
  </si>
  <si>
    <t xml:space="preserve"> Total PRES. LOT 6</t>
  </si>
  <si>
    <t xml:space="preserve"> BDC 187</t>
  </si>
  <si>
    <t xml:space="preserve"> BDC 187 régul.</t>
  </si>
  <si>
    <t xml:space="preserve"> BDC 187 non régul.</t>
  </si>
  <si>
    <t>Somme de Commerce</t>
  </si>
  <si>
    <t xml:space="preserve"> BDC 191</t>
  </si>
  <si>
    <t xml:space="preserve"> BDC 191 régul</t>
  </si>
  <si>
    <t xml:space="preserve"> BDC 191 non régul.</t>
  </si>
  <si>
    <t>30-avr</t>
  </si>
  <si>
    <t xml:space="preserve"> Présidence</t>
  </si>
  <si>
    <t xml:space="preserve"> Assemblée</t>
  </si>
  <si>
    <t xml:space="preserve"> Contrôle d'Etat</t>
  </si>
  <si>
    <t xml:space="preserve"> Sénat</t>
  </si>
  <si>
    <t xml:space="preserve"> Primature</t>
  </si>
  <si>
    <t xml:space="preserve"> Relation avec les Assemblées</t>
  </si>
  <si>
    <t xml:space="preserve"> Conseil National de la Communication</t>
  </si>
  <si>
    <t xml:space="preserve"> Agriculture</t>
  </si>
  <si>
    <t xml:space="preserve"> Affaires Etrangères</t>
  </si>
  <si>
    <t xml:space="preserve"> Défense Nationale</t>
  </si>
  <si>
    <t xml:space="preserve"> Garde Républicaine</t>
  </si>
  <si>
    <t xml:space="preserve"> Gendamerie Nationale</t>
  </si>
  <si>
    <t xml:space="preserve"> Forces Terrestres et Navales</t>
  </si>
  <si>
    <t xml:space="preserve"> ALA</t>
  </si>
  <si>
    <t xml:space="preserve"> Marine Nationale</t>
  </si>
  <si>
    <t xml:space="preserve"> Forces Armées Gabonaises</t>
  </si>
  <si>
    <t xml:space="preserve"> Bataillon des Sapeurs-Pompiers</t>
  </si>
  <si>
    <t xml:space="preserve"> Cour Constitutionnelle</t>
  </si>
  <si>
    <t xml:space="preserve"> Hauts Fonctionnaires</t>
  </si>
  <si>
    <t xml:space="preserve"> Eaux et Forêts</t>
  </si>
  <si>
    <t xml:space="preserve"> Mines et Energie</t>
  </si>
  <si>
    <t xml:space="preserve"> Pétrole et Hydrocarbures</t>
  </si>
  <si>
    <t xml:space="preserve"> Travaux Publics Equipement et Construction</t>
  </si>
  <si>
    <t xml:space="preserve"> Habitat et Cadastre</t>
  </si>
  <si>
    <t xml:space="preserve"> Transport</t>
  </si>
  <si>
    <t xml:space="preserve"> Marine Marchande</t>
  </si>
  <si>
    <t xml:space="preserve"> Justice</t>
  </si>
  <si>
    <t xml:space="preserve"> Intéreur</t>
  </si>
  <si>
    <t xml:space="preserve"> Forces de Police Nationale</t>
  </si>
  <si>
    <t xml:space="preserve"> Sécurité Pénitentiare</t>
  </si>
  <si>
    <t xml:space="preserve"> Budget/Finances</t>
  </si>
  <si>
    <t xml:space="preserve"> Commerce</t>
  </si>
  <si>
    <t xml:space="preserve"> Economie</t>
  </si>
  <si>
    <t xml:space="preserve"> Communication</t>
  </si>
  <si>
    <t xml:space="preserve"> Fonction Publique</t>
  </si>
  <si>
    <t xml:space="preserve"> Education Nationale 1</t>
  </si>
  <si>
    <t xml:space="preserve"> Education Nationale 2</t>
  </si>
  <si>
    <t xml:space="preserve"> Formation Professionnelle</t>
  </si>
  <si>
    <t xml:space="preserve"> Jeunesse et Sports</t>
  </si>
  <si>
    <t xml:space="preserve"> Enseignement Supérieur</t>
  </si>
  <si>
    <t xml:space="preserve"> Culture et Arts</t>
  </si>
  <si>
    <t xml:space="preserve"> Recherche Scientifique</t>
  </si>
  <si>
    <t xml:space="preserve"> Santé Publique</t>
  </si>
  <si>
    <t xml:space="preserve"> Travail et Emploi</t>
  </si>
  <si>
    <t xml:space="preserve"> Affaire Sociales</t>
  </si>
  <si>
    <t xml:space="preserve"> de Stages</t>
  </si>
  <si>
    <t xml:space="preserve"> Armées Gabonaises</t>
  </si>
  <si>
    <t xml:space="preserve"> Stages</t>
  </si>
  <si>
    <t>Administrations/MDR</t>
  </si>
  <si>
    <t>Total bdc en  N</t>
  </si>
  <si>
    <t>Total bdc en  N-1</t>
  </si>
  <si>
    <t>31-mai</t>
  </si>
  <si>
    <t>Administration</t>
  </si>
  <si>
    <t>BDC PERIODE (N)</t>
  </si>
  <si>
    <t>Administrati</t>
  </si>
  <si>
    <t>BDC PERIODE (N-1)</t>
  </si>
  <si>
    <t xml:space="preserve"> Bons de caisse 101</t>
  </si>
  <si>
    <t xml:space="preserve"> 107</t>
  </si>
  <si>
    <t xml:space="preserve"> 184</t>
  </si>
  <si>
    <t xml:space="preserve"> 188</t>
  </si>
  <si>
    <t xml:space="preserve"> 189</t>
  </si>
  <si>
    <t xml:space="preserve"> 190</t>
  </si>
  <si>
    <t xml:space="preserve"> 192</t>
  </si>
  <si>
    <t xml:space="preserve"> 193</t>
  </si>
  <si>
    <t xml:space="preserve"> 194</t>
  </si>
  <si>
    <t xml:space="preserve"> 195</t>
  </si>
  <si>
    <t xml:space="preserve"> 198</t>
  </si>
  <si>
    <t xml:space="preserve"> 199</t>
  </si>
  <si>
    <t>MDR</t>
  </si>
  <si>
    <t>BDC EN N</t>
  </si>
  <si>
    <t>BDC EN N-1</t>
  </si>
  <si>
    <t xml:space="preserve"> Education   Nationale 1</t>
  </si>
  <si>
    <t xml:space="preserve"> Education   Nationale 2</t>
  </si>
  <si>
    <t xml:space="preserve"> Education   Nationale 3</t>
  </si>
  <si>
    <t xml:space="preserve"> Education   Nationale 4</t>
  </si>
  <si>
    <t xml:space="preserve"> Jeunesse et Sports.</t>
  </si>
  <si>
    <t xml:space="preserve"> Enseignement Supérieur.</t>
  </si>
  <si>
    <t xml:space="preserve"> Santé Publique.</t>
  </si>
  <si>
    <t xml:space="preserve"> Fonction Publique.</t>
  </si>
  <si>
    <t xml:space="preserve"> Recherche Scientifique.</t>
  </si>
  <si>
    <t xml:space="preserve"> Eaux et Forêts.</t>
  </si>
  <si>
    <t xml:space="preserve"> Eaux et Energie</t>
  </si>
  <si>
    <t xml:space="preserve"> Mines</t>
  </si>
  <si>
    <t xml:space="preserve"> Commerce.</t>
  </si>
  <si>
    <t xml:space="preserve"> Douanes</t>
  </si>
  <si>
    <t xml:space="preserve"> Tresor</t>
  </si>
  <si>
    <t xml:space="preserve"> DGCPT</t>
  </si>
  <si>
    <t xml:space="preserve"> DGCC</t>
  </si>
  <si>
    <t xml:space="preserve"> Economie.</t>
  </si>
  <si>
    <t xml:space="preserve"> Impots</t>
  </si>
  <si>
    <t xml:space="preserve"> DG Budget</t>
  </si>
  <si>
    <t xml:space="preserve"> Direction de la solde</t>
  </si>
  <si>
    <t xml:space="preserve"> DG Economie</t>
  </si>
  <si>
    <t xml:space="preserve"> Coopération   Cubaine bdc 188</t>
  </si>
  <si>
    <t xml:space="preserve"> BDC 178</t>
  </si>
  <si>
    <t>BDC 184.</t>
  </si>
  <si>
    <t>BDC 190.</t>
  </si>
  <si>
    <t>BDC 193.</t>
  </si>
  <si>
    <t>Total général</t>
  </si>
  <si>
    <t>BDC 195</t>
  </si>
  <si>
    <t>BDC 190</t>
  </si>
  <si>
    <t>BDC 192</t>
  </si>
  <si>
    <t>BDC 193</t>
  </si>
  <si>
    <t>BDC 194</t>
  </si>
  <si>
    <t>BDC 184</t>
  </si>
  <si>
    <t>BDC 198</t>
  </si>
  <si>
    <t>BDC 199</t>
  </si>
  <si>
    <t>BDC 101</t>
  </si>
  <si>
    <t>BDC 107</t>
  </si>
  <si>
    <t>BDC 189</t>
  </si>
  <si>
    <t>LES 10 PREMIERS MDR EN (N-1) ET (N)</t>
  </si>
  <si>
    <t>total bdc (N-1)</t>
  </si>
  <si>
    <t>total bcd (N)</t>
  </si>
  <si>
    <t>total bdc  en (N-1)</t>
  </si>
  <si>
    <t>N-1</t>
  </si>
  <si>
    <t>N</t>
  </si>
  <si>
    <t>V°</t>
  </si>
  <si>
    <t>Taux</t>
  </si>
  <si>
    <t>BDC 187  REGUL.</t>
  </si>
  <si>
    <t>BDC 187 NON REGUL.</t>
  </si>
  <si>
    <t>Administration/MDR</t>
  </si>
  <si>
    <t>total bdc en (N)</t>
  </si>
  <si>
    <t>BDC LOT 1</t>
  </si>
  <si>
    <t>BDC LOT 2</t>
  </si>
  <si>
    <t>BDC LOT 3</t>
  </si>
  <si>
    <t>Masse par période</t>
  </si>
  <si>
    <t>BDC LOT 4</t>
  </si>
  <si>
    <t>Total Masse</t>
  </si>
  <si>
    <t>BDC SPE. LOT 5</t>
  </si>
  <si>
    <t>BDC 191 REGUL.</t>
  </si>
  <si>
    <t>Total Permanent</t>
  </si>
  <si>
    <t>BDC PRES. LOT 6</t>
  </si>
  <si>
    <t>BDC 191 NON REGUL.</t>
  </si>
  <si>
    <t>Total Présalaire</t>
  </si>
  <si>
    <t>FORMULAIRE MASSE SALARIALE DU MOIS</t>
  </si>
  <si>
    <t>COMPTEUR</t>
  </si>
  <si>
    <t>NB SAUVEGARGE</t>
  </si>
  <si>
    <t>CATEGORIES</t>
  </si>
  <si>
    <t>Permanent</t>
  </si>
  <si>
    <t>Présalaire</t>
  </si>
  <si>
    <t>MASSE</t>
  </si>
  <si>
    <t>NIVEAU SALAIRE</t>
  </si>
  <si>
    <t>Nb SAUVEGARDE</t>
  </si>
  <si>
    <t>BONS DE CAISSE</t>
  </si>
  <si>
    <r>
      <t xml:space="preserve">LOT </t>
    </r>
    <r>
      <rPr>
        <b/>
        <u val="double"/>
        <sz val="22"/>
        <color theme="1"/>
        <rFont val="Garamond"/>
        <family val="1"/>
      </rPr>
      <t xml:space="preserve">N° </t>
    </r>
    <r>
      <rPr>
        <b/>
        <u val="double"/>
        <sz val="22"/>
        <color theme="1"/>
        <rFont val="Eras Bold ITC"/>
        <family val="2"/>
      </rPr>
      <t>1</t>
    </r>
  </si>
  <si>
    <t>N°</t>
  </si>
  <si>
    <t>Administrations</t>
  </si>
  <si>
    <t>Pages de référence listing</t>
  </si>
  <si>
    <t>Matricules de référence</t>
  </si>
  <si>
    <t>Nombre BDC Trésor</t>
  </si>
  <si>
    <t>Visa Solde</t>
  </si>
  <si>
    <t>Visa Trésor</t>
  </si>
  <si>
    <t>Solde</t>
  </si>
  <si>
    <t>Trésor</t>
  </si>
  <si>
    <t xml:space="preserve">Date : </t>
  </si>
  <si>
    <t xml:space="preserve">         </t>
  </si>
  <si>
    <t xml:space="preserve">Total BDC : </t>
  </si>
  <si>
    <r>
      <t xml:space="preserve">LOT </t>
    </r>
    <r>
      <rPr>
        <b/>
        <u val="double"/>
        <sz val="22"/>
        <color theme="1"/>
        <rFont val="Garamond"/>
        <family val="1"/>
      </rPr>
      <t xml:space="preserve">N° </t>
    </r>
    <r>
      <rPr>
        <b/>
        <u val="double"/>
        <sz val="22"/>
        <color theme="1"/>
        <rFont val="Eras Bold ITC"/>
        <family val="2"/>
      </rPr>
      <t>2</t>
    </r>
  </si>
  <si>
    <t>NB SAUVEGARDE</t>
  </si>
  <si>
    <r>
      <t xml:space="preserve">LOT </t>
    </r>
    <r>
      <rPr>
        <b/>
        <u val="double"/>
        <sz val="22"/>
        <color theme="1"/>
        <rFont val="Garamond"/>
        <family val="1"/>
      </rPr>
      <t xml:space="preserve">N° </t>
    </r>
    <r>
      <rPr>
        <b/>
        <u val="double"/>
        <sz val="22"/>
        <color theme="1"/>
        <rFont val="Eras Bold ITC"/>
        <family val="2"/>
      </rPr>
      <t>3</t>
    </r>
  </si>
  <si>
    <r>
      <t xml:space="preserve">LOT </t>
    </r>
    <r>
      <rPr>
        <b/>
        <u val="double"/>
        <sz val="22"/>
        <color theme="1"/>
        <rFont val="Garamond"/>
        <family val="1"/>
      </rPr>
      <t xml:space="preserve">N° </t>
    </r>
    <r>
      <rPr>
        <b/>
        <u val="double"/>
        <sz val="22"/>
        <color theme="1"/>
        <rFont val="Eras Bold ITC"/>
        <family val="2"/>
      </rPr>
      <t>4</t>
    </r>
  </si>
  <si>
    <t>BONS DE CAISSE SPECIAUX</t>
  </si>
  <si>
    <r>
      <t xml:space="preserve">LOT </t>
    </r>
    <r>
      <rPr>
        <b/>
        <u val="double"/>
        <sz val="22"/>
        <color theme="1"/>
        <rFont val="Garamond"/>
        <family val="1"/>
      </rPr>
      <t>N° 5</t>
    </r>
  </si>
  <si>
    <t>Mode De Règlement</t>
  </si>
  <si>
    <t>BDC  187 NON REGULARIES</t>
  </si>
  <si>
    <t>=</t>
  </si>
  <si>
    <t>BDC  191 NON REGULARIES</t>
  </si>
  <si>
    <t xml:space="preserve">COMPTEUR </t>
  </si>
  <si>
    <t>NB  SAUVEGARDE</t>
  </si>
  <si>
    <t>BONS DE CAISSE PRESALAIRE</t>
  </si>
  <si>
    <t>Identifiants de référence</t>
  </si>
  <si>
    <t>(vide)</t>
  </si>
  <si>
    <t>BDC 188</t>
  </si>
  <si>
    <t>LES 10 PREMIERES ADMINISTRATIONS EN BDC 100</t>
  </si>
  <si>
    <t>Santé Publique.</t>
  </si>
  <si>
    <t>Enseignement Supérieur.</t>
  </si>
  <si>
    <t>Recherche Scientifique.</t>
  </si>
  <si>
    <t>Jeunesse et Sports.</t>
  </si>
  <si>
    <t>Economie.</t>
  </si>
  <si>
    <t>BDC 178</t>
  </si>
  <si>
    <t>Fonction Publique.</t>
  </si>
  <si>
    <t>Eaux et Forêts.</t>
  </si>
  <si>
    <t>jeunesse et Sports.</t>
  </si>
  <si>
    <t>taux de V°</t>
  </si>
  <si>
    <t>LES 10 PREMIERES ADMINISTRATIONS EN BDC PRESALAIRE</t>
  </si>
  <si>
    <t>User</t>
  </si>
  <si>
    <t>Role</t>
  </si>
  <si>
    <t>Passework</t>
  </si>
  <si>
    <t>Bonasse</t>
  </si>
  <si>
    <t>Admin</t>
  </si>
  <si>
    <t>Judicael</t>
  </si>
  <si>
    <t>CSCG</t>
  </si>
  <si>
    <t>DS</t>
  </si>
  <si>
    <t>DAS</t>
  </si>
  <si>
    <t>Alex</t>
  </si>
  <si>
    <t>DIRECTION GENERALE DU BUDGET ET DES FINANCES PUBLIQUES</t>
  </si>
  <si>
    <t>DIRECTION DE LA SOLDE</t>
  </si>
  <si>
    <t>Irman</t>
  </si>
  <si>
    <t>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</si>
</sst>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\ &quot;FCFA&quot;"/>
    <numFmt numFmtId="165" formatCode="[$-40C]mmm\-yy;@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Berlin Sans FB"/>
      <family val="2"/>
    </font>
    <font>
      <b/>
      <sz val="16"/>
      <color rgb="FFFF0000"/>
      <name val="Calibri"/>
      <family val="2"/>
      <scheme val="minor"/>
    </font>
    <font>
      <sz val="10"/>
      <color theme="1"/>
      <name val="Garamond"/>
      <family val="1"/>
    </font>
    <font>
      <sz val="12"/>
      <color theme="1"/>
      <name val="Garamond"/>
      <family val="1"/>
    </font>
    <font>
      <b/>
      <sz val="10"/>
      <color theme="1"/>
      <name val="Garamond"/>
      <family val="1"/>
    </font>
    <font>
      <b/>
      <u/>
      <sz val="12"/>
      <color theme="1"/>
      <name val="Garamond"/>
      <family val="1"/>
    </font>
    <font>
      <b/>
      <sz val="16"/>
      <color theme="1"/>
      <name val="Garamond"/>
      <family val="1"/>
    </font>
    <font>
      <b/>
      <sz val="12"/>
      <color theme="0"/>
      <name val="Garamond"/>
      <family val="1"/>
    </font>
    <font>
      <sz val="20"/>
      <color theme="1"/>
      <name val="Garamond"/>
      <family val="1"/>
    </font>
    <font>
      <b/>
      <sz val="14"/>
      <color theme="1"/>
      <name val="Garamond"/>
      <family val="1"/>
    </font>
    <font>
      <b/>
      <sz val="28"/>
      <color theme="1"/>
      <name val="Garamond"/>
      <family val="1"/>
    </font>
    <font>
      <b/>
      <sz val="22"/>
      <color theme="1"/>
      <name val="Garamond"/>
      <family val="1"/>
    </font>
    <font>
      <b/>
      <u val="double"/>
      <sz val="22"/>
      <color theme="1"/>
      <name val="Garamond"/>
      <family val="1"/>
    </font>
    <font>
      <b/>
      <u val="double"/>
      <sz val="22"/>
      <color theme="1"/>
      <name val="Eras Bold ITC"/>
      <family val="2"/>
    </font>
    <font>
      <b/>
      <u/>
      <sz val="22"/>
      <color theme="1"/>
      <name val="Garamond"/>
      <family val="1"/>
    </font>
    <font>
      <sz val="18"/>
      <color theme="1"/>
      <name val="Garamond"/>
      <family val="1"/>
    </font>
    <font>
      <sz val="19"/>
      <color theme="1"/>
      <name val="Garamond"/>
      <family val="1"/>
    </font>
    <font>
      <sz val="24"/>
      <color theme="1"/>
      <name val="Garamond"/>
      <family val="1"/>
    </font>
    <font>
      <sz val="28"/>
      <color theme="1"/>
      <name val="Garamond"/>
      <family val="1"/>
    </font>
    <font>
      <sz val="55"/>
      <color theme="1"/>
      <name val="Garamond"/>
      <family val="1"/>
    </font>
    <font>
      <sz val="60"/>
      <color theme="1"/>
      <name val="Garamond"/>
      <family val="1"/>
    </font>
    <font>
      <b/>
      <sz val="12"/>
      <color theme="1"/>
      <name val="Garamond"/>
      <family val="1"/>
    </font>
    <font>
      <sz val="11"/>
      <color theme="1"/>
      <name val="Garamond"/>
      <family val="1"/>
    </font>
    <font>
      <sz val="11"/>
      <color theme="0"/>
      <name val="Calibri"/>
      <family val="2"/>
      <scheme val="minor"/>
    </font>
    <font>
      <b/>
      <sz val="18"/>
      <color theme="1"/>
      <name val="Garamond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Garamond"/>
      <family val="1"/>
    </font>
    <font>
      <b/>
      <sz val="11"/>
      <color theme="1"/>
      <name val="Garamond"/>
      <family val="1"/>
    </font>
    <font>
      <b/>
      <sz val="11"/>
      <name val="Garamond"/>
      <family val="1"/>
    </font>
    <font>
      <b/>
      <u/>
      <sz val="11"/>
      <name val="Garamond"/>
      <family val="1"/>
    </font>
    <font>
      <b/>
      <sz val="20"/>
      <color theme="1"/>
      <name val="Garamond"/>
      <family val="1"/>
    </font>
    <font>
      <b/>
      <sz val="26"/>
      <color theme="1"/>
      <name val="Calibri"/>
      <family val="2"/>
      <scheme val="minor"/>
    </font>
    <font>
      <sz val="70"/>
      <color theme="1"/>
      <name val="Garamond"/>
      <family val="1"/>
    </font>
    <font>
      <b/>
      <sz val="16"/>
      <color theme="0"/>
      <name val="Calibri"/>
      <family val="2"/>
      <scheme val="minor"/>
    </font>
    <font>
      <sz val="72"/>
      <color theme="1"/>
      <name val="Garamond"/>
      <family val="1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48"/>
      <color theme="4"/>
      <name val="Arial Black"/>
      <family val="2"/>
    </font>
    <font>
      <b/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40" fillId="0" borderId="0" applyFont="0" applyFill="0" applyBorder="0" applyAlignment="0" applyProtection="0"/>
  </cellStyleXfs>
  <cellXfs count="346">
    <xf numFmtId="0" fontId="0" fillId="0" borderId="0" xfId="0"/>
    <xf numFmtId="0" fontId="2" fillId="2" borderId="1" xfId="0" applyFont="1" applyFill="1" applyBorder="1"/>
    <xf numFmtId="0" fontId="0" fillId="2" borderId="1" xfId="0" applyFill="1" applyBorder="1"/>
    <xf numFmtId="0" fontId="2" fillId="0" borderId="1" xfId="0" applyFont="1" applyBorder="1"/>
    <xf numFmtId="0" fontId="0" fillId="0" borderId="1" xfId="0" applyBorder="1"/>
    <xf numFmtId="0" fontId="3" fillId="2" borderId="1" xfId="0" applyFont="1" applyFill="1" applyBorder="1"/>
    <xf numFmtId="0" fontId="2" fillId="0" borderId="0" xfId="0" applyFont="1"/>
    <xf numFmtId="0" fontId="4" fillId="0" borderId="1" xfId="0" applyFont="1" applyBorder="1"/>
    <xf numFmtId="0" fontId="0" fillId="0" borderId="1" xfId="0" applyFill="1" applyBorder="1"/>
    <xf numFmtId="0" fontId="1" fillId="0" borderId="1" xfId="0" applyFont="1" applyFill="1" applyBorder="1"/>
    <xf numFmtId="0" fontId="1" fillId="0" borderId="1" xfId="0" applyFont="1" applyBorder="1"/>
    <xf numFmtId="0" fontId="4" fillId="2" borderId="1" xfId="0" applyFont="1" applyFill="1" applyBorder="1"/>
    <xf numFmtId="0" fontId="4" fillId="0" borderId="0" xfId="0" applyFont="1"/>
    <xf numFmtId="0" fontId="1" fillId="0" borderId="0" xfId="0" applyFont="1" applyFill="1" applyBorder="1"/>
    <xf numFmtId="0" fontId="0" fillId="3" borderId="1" xfId="0" applyFill="1" applyBorder="1"/>
    <xf numFmtId="0" fontId="4" fillId="3" borderId="1" xfId="0" applyFont="1" applyFill="1" applyBorder="1"/>
    <xf numFmtId="0" fontId="2" fillId="4" borderId="1" xfId="0" applyFont="1" applyFill="1" applyBorder="1"/>
    <xf numFmtId="0" fontId="0" fillId="4" borderId="1" xfId="0" applyFill="1" applyBorder="1"/>
    <xf numFmtId="0" fontId="0" fillId="0" borderId="1" xfId="0" applyBorder="1" applyAlignment="1">
      <alignment horizontal="center" vertical="center"/>
    </xf>
    <xf numFmtId="0" fontId="13" fillId="4" borderId="0" xfId="0" applyFont="1" applyFill="1" applyBorder="1" applyAlignment="1">
      <alignment vertical="center"/>
    </xf>
    <xf numFmtId="0" fontId="2" fillId="0" borderId="1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9" borderId="0" xfId="0" applyFill="1"/>
    <xf numFmtId="0" fontId="0" fillId="0" borderId="0" xfId="0" applyBorder="1"/>
    <xf numFmtId="14" fontId="28" fillId="0" borderId="18" xfId="0" applyNumberFormat="1" applyFont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  <xf numFmtId="0" fontId="8" fillId="0" borderId="0" xfId="0" quotePrefix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34" fillId="0" borderId="18" xfId="0" applyFont="1" applyBorder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9" fillId="0" borderId="0" xfId="0" applyFont="1" applyAlignment="1" applyProtection="1">
      <alignment vertical="center"/>
      <protection locked="0"/>
    </xf>
    <xf numFmtId="0" fontId="7" fillId="0" borderId="0" xfId="0" applyFont="1" applyAlignme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14" fontId="11" fillId="0" borderId="0" xfId="0" applyNumberFormat="1" applyFont="1" applyAlignment="1" applyProtection="1">
      <alignment horizontal="center"/>
      <protection locked="0"/>
    </xf>
    <xf numFmtId="0" fontId="25" fillId="0" borderId="10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3" fillId="5" borderId="1" xfId="0" applyFont="1" applyFill="1" applyBorder="1" applyAlignment="1" applyProtection="1">
      <alignment horizontal="center" vertical="center"/>
    </xf>
    <xf numFmtId="0" fontId="13" fillId="5" borderId="1" xfId="0" applyFont="1" applyFill="1" applyBorder="1" applyAlignment="1" applyProtection="1">
      <alignment horizontal="left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 wrapText="1"/>
    </xf>
    <xf numFmtId="0" fontId="10" fillId="0" borderId="1" xfId="0" applyFont="1" applyBorder="1" applyAlignment="1" applyProtection="1">
      <alignment horizontal="center" vertical="center"/>
    </xf>
    <xf numFmtId="0" fontId="28" fillId="0" borderId="9" xfId="0" applyFont="1" applyBorder="1" applyAlignment="1" applyProtection="1">
      <alignment vertical="center"/>
    </xf>
    <xf numFmtId="0" fontId="13" fillId="0" borderId="1" xfId="0" applyFont="1" applyBorder="1" applyAlignment="1" applyProtection="1">
      <alignment horizontal="center" vertical="center"/>
    </xf>
    <xf numFmtId="0" fontId="22" fillId="0" borderId="12" xfId="0" applyFont="1" applyBorder="1" applyAlignment="1" applyProtection="1">
      <alignment horizontal="center" vertical="center"/>
    </xf>
    <xf numFmtId="0" fontId="22" fillId="0" borderId="13" xfId="0" applyFont="1" applyBorder="1" applyAlignment="1" applyProtection="1">
      <alignment horizontal="center" vertical="center"/>
    </xf>
    <xf numFmtId="0" fontId="28" fillId="0" borderId="9" xfId="0" applyFont="1" applyBorder="1" applyAlignment="1" applyProtection="1">
      <alignment horizontal="left" vertical="center" wrapText="1"/>
    </xf>
    <xf numFmtId="0" fontId="28" fillId="0" borderId="9" xfId="0" applyFont="1" applyBorder="1" applyAlignment="1" applyProtection="1">
      <alignment horizontal="center" vertical="center" wrapText="1"/>
    </xf>
    <xf numFmtId="0" fontId="28" fillId="0" borderId="19" xfId="0" applyFont="1" applyBorder="1" applyAlignment="1" applyProtection="1">
      <alignment vertical="center"/>
    </xf>
    <xf numFmtId="0" fontId="10" fillId="0" borderId="24" xfId="0" applyFont="1" applyBorder="1" applyAlignment="1" applyProtection="1">
      <alignment horizontal="center" vertical="center"/>
    </xf>
    <xf numFmtId="0" fontId="13" fillId="0" borderId="24" xfId="0" applyFont="1" applyBorder="1" applyAlignment="1" applyProtection="1">
      <alignment horizontal="center" vertical="center"/>
    </xf>
    <xf numFmtId="0" fontId="22" fillId="0" borderId="25" xfId="0" applyFont="1" applyBorder="1" applyAlignment="1" applyProtection="1">
      <alignment horizontal="center" vertical="center"/>
    </xf>
    <xf numFmtId="0" fontId="22" fillId="0" borderId="24" xfId="0" applyFont="1" applyBorder="1" applyAlignment="1" applyProtection="1">
      <alignment horizontal="center" vertical="center"/>
    </xf>
    <xf numFmtId="0" fontId="28" fillId="0" borderId="9" xfId="0" applyFont="1" applyBorder="1" applyAlignment="1" applyProtection="1">
      <alignment vertical="center" wrapText="1"/>
    </xf>
    <xf numFmtId="0" fontId="13" fillId="0" borderId="2" xfId="0" applyFont="1" applyBorder="1" applyAlignment="1" applyProtection="1">
      <alignment horizontal="center" vertical="center"/>
    </xf>
    <xf numFmtId="0" fontId="22" fillId="0" borderId="4" xfId="0" applyFont="1" applyBorder="1" applyAlignment="1" applyProtection="1">
      <alignment horizontal="center" vertical="center"/>
    </xf>
    <xf numFmtId="0" fontId="22" fillId="0" borderId="17" xfId="0" applyFont="1" applyBorder="1" applyAlignment="1" applyProtection="1">
      <alignment horizontal="center" vertical="center"/>
    </xf>
    <xf numFmtId="0" fontId="28" fillId="0" borderId="1" xfId="0" applyFont="1" applyBorder="1" applyAlignment="1" applyProtection="1">
      <alignment vertical="center" wrapText="1"/>
    </xf>
    <xf numFmtId="0" fontId="22" fillId="0" borderId="1" xfId="0" applyFont="1" applyBorder="1" applyAlignment="1" applyProtection="1">
      <alignment horizontal="center" vertical="center"/>
    </xf>
    <xf numFmtId="0" fontId="13" fillId="5" borderId="1" xfId="0" applyFont="1" applyFill="1" applyBorder="1" applyAlignment="1" applyProtection="1">
      <alignment horizontal="center" vertical="center" wrapText="1"/>
    </xf>
    <xf numFmtId="0" fontId="6" fillId="0" borderId="21" xfId="0" applyFont="1" applyBorder="1" applyProtection="1"/>
    <xf numFmtId="0" fontId="6" fillId="0" borderId="11" xfId="0" applyFont="1" applyBorder="1" applyProtection="1"/>
    <xf numFmtId="0" fontId="6" fillId="0" borderId="0" xfId="0" applyFont="1" applyProtection="1"/>
    <xf numFmtId="0" fontId="15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vertical="center"/>
    </xf>
    <xf numFmtId="0" fontId="15" fillId="0" borderId="0" xfId="0" applyFont="1" applyBorder="1" applyAlignment="1" applyProtection="1">
      <alignment horizontal="center" vertical="top"/>
    </xf>
    <xf numFmtId="0" fontId="9" fillId="0" borderId="0" xfId="0" applyFont="1" applyAlignment="1" applyProtection="1">
      <alignment horizontal="center"/>
    </xf>
    <xf numFmtId="14" fontId="15" fillId="0" borderId="0" xfId="0" applyNumberFormat="1" applyFont="1" applyAlignment="1" applyProtection="1">
      <alignment horizontal="center"/>
    </xf>
    <xf numFmtId="0" fontId="7" fillId="0" borderId="0" xfId="0" applyFont="1" applyProtection="1"/>
    <xf numFmtId="0" fontId="7" fillId="0" borderId="2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/>
    </xf>
    <xf numFmtId="0" fontId="37" fillId="0" borderId="2" xfId="0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/>
    </xf>
    <xf numFmtId="0" fontId="37" fillId="0" borderId="1" xfId="0" applyFont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 vertical="center"/>
    </xf>
    <xf numFmtId="0" fontId="7" fillId="0" borderId="16" xfId="0" applyFont="1" applyBorder="1" applyAlignment="1" applyProtection="1">
      <alignment horizontal="center"/>
    </xf>
    <xf numFmtId="0" fontId="37" fillId="0" borderId="16" xfId="0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23" fillId="0" borderId="2" xfId="0" applyFont="1" applyBorder="1" applyAlignment="1" applyProtection="1">
      <alignment vertical="center"/>
    </xf>
    <xf numFmtId="0" fontId="23" fillId="0" borderId="2" xfId="0" applyFont="1" applyBorder="1" applyAlignment="1" applyProtection="1"/>
    <xf numFmtId="0" fontId="24" fillId="0" borderId="2" xfId="0" applyFont="1" applyBorder="1" applyAlignment="1" applyProtection="1"/>
    <xf numFmtId="0" fontId="23" fillId="0" borderId="1" xfId="0" applyFont="1" applyBorder="1" applyAlignment="1" applyProtection="1">
      <alignment vertical="center"/>
    </xf>
    <xf numFmtId="0" fontId="23" fillId="0" borderId="1" xfId="0" applyFont="1" applyBorder="1" applyAlignment="1" applyProtection="1"/>
    <xf numFmtId="0" fontId="24" fillId="0" borderId="1" xfId="0" applyFont="1" applyBorder="1" applyAlignment="1" applyProtection="1"/>
    <xf numFmtId="0" fontId="23" fillId="0" borderId="12" xfId="0" applyFont="1" applyBorder="1" applyAlignment="1" applyProtection="1">
      <alignment horizontal="center" vertical="center"/>
    </xf>
    <xf numFmtId="0" fontId="23" fillId="0" borderId="13" xfId="0" applyFont="1" applyBorder="1" applyAlignment="1" applyProtection="1">
      <alignment horizontal="center" vertical="center"/>
    </xf>
    <xf numFmtId="0" fontId="26" fillId="0" borderId="6" xfId="0" applyFont="1" applyBorder="1" applyAlignment="1" applyProtection="1">
      <alignment horizontal="right"/>
    </xf>
    <xf numFmtId="0" fontId="10" fillId="5" borderId="1" xfId="0" applyFont="1" applyFill="1" applyBorder="1" applyAlignment="1" applyProtection="1">
      <alignment horizontal="center" vertical="center"/>
    </xf>
    <xf numFmtId="0" fontId="21" fillId="0" borderId="12" xfId="0" applyFont="1" applyBorder="1" applyAlignment="1" applyProtection="1">
      <alignment horizontal="center" vertical="center"/>
    </xf>
    <xf numFmtId="0" fontId="21" fillId="0" borderId="13" xfId="0" applyFont="1" applyBorder="1" applyAlignment="1" applyProtection="1">
      <alignment horizontal="center" vertical="center"/>
    </xf>
    <xf numFmtId="0" fontId="21" fillId="0" borderId="2" xfId="0" applyFont="1" applyBorder="1" applyAlignment="1" applyProtection="1">
      <alignment vertical="center"/>
    </xf>
    <xf numFmtId="0" fontId="21" fillId="0" borderId="2" xfId="0" applyFont="1" applyBorder="1" applyAlignment="1" applyProtection="1"/>
    <xf numFmtId="0" fontId="28" fillId="0" borderId="19" xfId="0" applyFont="1" applyBorder="1" applyAlignment="1" applyProtection="1">
      <alignment vertical="center" wrapText="1"/>
    </xf>
    <xf numFmtId="0" fontId="21" fillId="0" borderId="1" xfId="0" applyFont="1" applyBorder="1" applyAlignment="1" applyProtection="1">
      <alignment vertical="center"/>
    </xf>
    <xf numFmtId="0" fontId="21" fillId="0" borderId="1" xfId="0" applyFont="1" applyBorder="1" applyAlignment="1" applyProtection="1"/>
    <xf numFmtId="0" fontId="6" fillId="0" borderId="6" xfId="0" applyFont="1" applyBorder="1" applyProtection="1"/>
    <xf numFmtId="0" fontId="6" fillId="0" borderId="0" xfId="0" applyFont="1" applyAlignment="1" applyProtection="1">
      <alignment horizontal="center" vertical="center"/>
    </xf>
    <xf numFmtId="0" fontId="32" fillId="0" borderId="18" xfId="0" applyFont="1" applyBorder="1" applyAlignment="1" applyProtection="1">
      <alignment horizontal="center" vertical="center"/>
      <protection locked="0"/>
    </xf>
    <xf numFmtId="1" fontId="25" fillId="0" borderId="10" xfId="0" applyNumberFormat="1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vertical="center"/>
    </xf>
    <xf numFmtId="0" fontId="7" fillId="0" borderId="2" xfId="0" applyFont="1" applyBorder="1" applyAlignment="1" applyProtection="1"/>
    <xf numFmtId="0" fontId="7" fillId="0" borderId="1" xfId="0" applyFont="1" applyBorder="1" applyAlignment="1" applyProtection="1">
      <alignment vertical="center"/>
    </xf>
    <xf numFmtId="0" fontId="7" fillId="0" borderId="1" xfId="0" applyFont="1" applyBorder="1" applyAlignment="1" applyProtection="1"/>
    <xf numFmtId="0" fontId="20" fillId="0" borderId="12" xfId="0" applyFont="1" applyBorder="1" applyAlignment="1" applyProtection="1">
      <alignment horizontal="center" vertical="center"/>
    </xf>
    <xf numFmtId="0" fontId="20" fillId="0" borderId="13" xfId="0" applyFont="1" applyBorder="1" applyAlignment="1" applyProtection="1">
      <alignment horizontal="center" vertical="center"/>
    </xf>
    <xf numFmtId="0" fontId="6" fillId="0" borderId="6" xfId="0" applyFont="1" applyBorder="1" applyAlignment="1" applyProtection="1">
      <alignment horizontal="center"/>
    </xf>
    <xf numFmtId="0" fontId="7" fillId="0" borderId="16" xfId="0" applyFont="1" applyBorder="1" applyAlignment="1" applyProtection="1">
      <alignment vertical="center"/>
    </xf>
    <xf numFmtId="0" fontId="7" fillId="0" borderId="16" xfId="0" applyFont="1" applyBorder="1" applyAlignment="1" applyProtection="1"/>
    <xf numFmtId="0" fontId="28" fillId="0" borderId="15" xfId="0" applyFont="1" applyBorder="1" applyAlignment="1" applyProtection="1">
      <alignment vertical="center" wrapText="1"/>
    </xf>
    <xf numFmtId="0" fontId="19" fillId="0" borderId="14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/>
    </xf>
    <xf numFmtId="0" fontId="19" fillId="0" borderId="17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 vertical="center"/>
    </xf>
    <xf numFmtId="0" fontId="25" fillId="0" borderId="18" xfId="0" applyFont="1" applyBorder="1" applyAlignment="1" applyProtection="1">
      <alignment horizontal="center" vertical="center"/>
      <protection locked="0"/>
    </xf>
    <xf numFmtId="0" fontId="7" fillId="0" borderId="24" xfId="0" applyFont="1" applyBorder="1" applyAlignment="1" applyProtection="1">
      <alignment vertical="center"/>
    </xf>
    <xf numFmtId="0" fontId="7" fillId="0" borderId="24" xfId="0" applyFont="1" applyBorder="1" applyAlignment="1" applyProtection="1"/>
    <xf numFmtId="0" fontId="37" fillId="0" borderId="1" xfId="0" applyFont="1" applyBorder="1" applyAlignment="1" applyProtection="1"/>
    <xf numFmtId="0" fontId="28" fillId="0" borderId="24" xfId="0" applyFont="1" applyBorder="1" applyAlignment="1" applyProtection="1">
      <alignment vertical="center" wrapText="1"/>
    </xf>
    <xf numFmtId="0" fontId="12" fillId="0" borderId="24" xfId="0" applyFont="1" applyBorder="1" applyAlignment="1" applyProtection="1">
      <alignment horizontal="center" vertical="center"/>
    </xf>
    <xf numFmtId="0" fontId="12" fillId="0" borderId="25" xfId="0" applyFont="1" applyBorder="1" applyAlignment="1" applyProtection="1">
      <alignment horizontal="center" vertical="center"/>
    </xf>
    <xf numFmtId="0" fontId="37" fillId="0" borderId="2" xfId="0" applyFont="1" applyBorder="1" applyAlignment="1" applyProtection="1"/>
    <xf numFmtId="0" fontId="12" fillId="0" borderId="13" xfId="0" applyFont="1" applyBorder="1" applyAlignment="1" applyProtection="1">
      <alignment horizontal="center" vertical="center"/>
    </xf>
    <xf numFmtId="0" fontId="12" fillId="0" borderId="12" xfId="0" applyFont="1" applyBorder="1" applyAlignment="1" applyProtection="1">
      <alignment horizontal="center" vertical="center"/>
    </xf>
    <xf numFmtId="0" fontId="28" fillId="0" borderId="2" xfId="0" applyFont="1" applyBorder="1" applyAlignment="1" applyProtection="1">
      <alignment vertical="center" wrapText="1"/>
    </xf>
    <xf numFmtId="0" fontId="12" fillId="0" borderId="17" xfId="0" applyFont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/>
    </xf>
    <xf numFmtId="0" fontId="12" fillId="0" borderId="1" xfId="0" applyFont="1" applyBorder="1" applyAlignment="1" applyProtection="1">
      <alignment horizontal="center" vertical="center"/>
    </xf>
    <xf numFmtId="14" fontId="11" fillId="0" borderId="0" xfId="0" applyNumberFormat="1" applyFont="1" applyAlignment="1" applyProtection="1">
      <alignment horizontal="center"/>
    </xf>
    <xf numFmtId="0" fontId="33" fillId="0" borderId="18" xfId="0" applyFont="1" applyBorder="1" applyAlignment="1" applyProtection="1">
      <alignment horizontal="center" vertical="center"/>
      <protection locked="0"/>
    </xf>
    <xf numFmtId="0" fontId="25" fillId="10" borderId="10" xfId="0" applyFont="1" applyFill="1" applyBorder="1" applyAlignment="1" applyProtection="1">
      <alignment horizontal="center" vertical="center"/>
      <protection locked="0"/>
    </xf>
    <xf numFmtId="0" fontId="8" fillId="0" borderId="18" xfId="0" applyFont="1" applyBorder="1" applyAlignment="1" applyProtection="1">
      <alignment horizontal="center" vertical="center"/>
      <protection locked="0"/>
    </xf>
    <xf numFmtId="0" fontId="32" fillId="0" borderId="24" xfId="0" applyFont="1" applyBorder="1"/>
    <xf numFmtId="0" fontId="0" fillId="0" borderId="0" xfId="0" pivotButton="1"/>
    <xf numFmtId="0" fontId="0" fillId="0" borderId="0" xfId="0" applyNumberFormat="1"/>
    <xf numFmtId="17" fontId="38" fillId="0" borderId="0" xfId="0" applyNumberFormat="1" applyFont="1" applyAlignment="1">
      <alignment horizontal="center" vertical="center"/>
    </xf>
    <xf numFmtId="0" fontId="10" fillId="0" borderId="2" xfId="0" applyFont="1" applyBorder="1" applyAlignment="1" applyProtection="1">
      <alignment horizontal="center" vertical="center"/>
    </xf>
    <xf numFmtId="0" fontId="25" fillId="10" borderId="1" xfId="0" applyFont="1" applyFill="1" applyBorder="1" applyAlignment="1" applyProtection="1">
      <alignment horizontal="center" vertical="center"/>
      <protection locked="0"/>
    </xf>
    <xf numFmtId="0" fontId="25" fillId="11" borderId="10" xfId="0" applyFont="1" applyFill="1" applyBorder="1" applyAlignment="1" applyProtection="1">
      <alignment horizontal="center" vertical="center"/>
      <protection locked="0"/>
    </xf>
    <xf numFmtId="165" fontId="0" fillId="0" borderId="0" xfId="0" applyNumberFormat="1"/>
    <xf numFmtId="165" fontId="32" fillId="0" borderId="24" xfId="0" applyNumberFormat="1" applyFont="1" applyBorder="1" applyAlignment="1">
      <alignment horizontal="right"/>
    </xf>
    <xf numFmtId="165" fontId="0" fillId="0" borderId="0" xfId="0" applyNumberFormat="1" applyAlignment="1">
      <alignment horizontal="right"/>
    </xf>
    <xf numFmtId="165" fontId="27" fillId="0" borderId="0" xfId="0" applyNumberFormat="1" applyFont="1"/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32" fillId="0" borderId="24" xfId="0" applyFont="1" applyBorder="1" applyAlignment="1" applyProtection="1">
      <alignment vertical="center"/>
    </xf>
    <xf numFmtId="0" fontId="32" fillId="0" borderId="24" xfId="0" applyFont="1" applyBorder="1" applyAlignment="1" applyProtection="1">
      <alignment vertical="center" wrapText="1"/>
    </xf>
    <xf numFmtId="165" fontId="32" fillId="0" borderId="24" xfId="0" applyNumberFormat="1" applyFont="1" applyBorder="1"/>
    <xf numFmtId="0" fontId="32" fillId="12" borderId="24" xfId="0" applyFont="1" applyFill="1" applyBorder="1" applyAlignment="1" applyProtection="1">
      <alignment vertical="center"/>
    </xf>
    <xf numFmtId="0" fontId="32" fillId="12" borderId="24" xfId="0" applyFont="1" applyFill="1" applyBorder="1" applyAlignment="1" applyProtection="1">
      <alignment vertical="center" wrapText="1"/>
    </xf>
    <xf numFmtId="0" fontId="32" fillId="12" borderId="24" xfId="0" applyFont="1" applyFill="1" applyBorder="1"/>
    <xf numFmtId="0" fontId="32" fillId="0" borderId="24" xfId="0" applyFont="1" applyBorder="1" applyAlignment="1" applyProtection="1">
      <alignment horizontal="left" vertical="center" wrapText="1"/>
    </xf>
    <xf numFmtId="0" fontId="32" fillId="0" borderId="24" xfId="0" applyFont="1" applyBorder="1" applyAlignment="1" applyProtection="1">
      <alignment horizontal="center" vertical="center" wrapText="1"/>
    </xf>
    <xf numFmtId="165" fontId="32" fillId="0" borderId="24" xfId="0" applyNumberFormat="1" applyFont="1" applyBorder="1" applyAlignment="1">
      <alignment horizontal="center" vertical="center"/>
    </xf>
    <xf numFmtId="165" fontId="32" fillId="12" borderId="24" xfId="0" applyNumberFormat="1" applyFont="1" applyFill="1" applyBorder="1"/>
    <xf numFmtId="0" fontId="39" fillId="0" borderId="0" xfId="0" applyFont="1" applyAlignment="1" applyProtection="1">
      <alignment horizontal="center" vertical="center"/>
      <protection locked="0"/>
    </xf>
    <xf numFmtId="0" fontId="10" fillId="6" borderId="18" xfId="0" applyFont="1" applyFill="1" applyBorder="1" applyAlignment="1" applyProtection="1">
      <alignment horizontal="center" vertical="center"/>
      <protection locked="0"/>
    </xf>
    <xf numFmtId="1" fontId="32" fillId="0" borderId="24" xfId="0" applyNumberFormat="1" applyFont="1" applyBorder="1"/>
    <xf numFmtId="1" fontId="0" fillId="0" borderId="0" xfId="0" applyNumberFormat="1"/>
    <xf numFmtId="14" fontId="0" fillId="0" borderId="0" xfId="0" applyNumberFormat="1"/>
    <xf numFmtId="0" fontId="0" fillId="4" borderId="0" xfId="0" applyFill="1"/>
    <xf numFmtId="0" fontId="0" fillId="8" borderId="0" xfId="0" applyFill="1" applyAlignment="1"/>
    <xf numFmtId="0" fontId="0" fillId="9" borderId="0" xfId="0" applyFill="1" applyAlignment="1"/>
    <xf numFmtId="0" fontId="0" fillId="4" borderId="0" xfId="0" applyFill="1" applyAlignment="1"/>
    <xf numFmtId="0" fontId="41" fillId="0" borderId="21" xfId="0" applyFont="1" applyFill="1" applyBorder="1"/>
    <xf numFmtId="0" fontId="41" fillId="0" borderId="11" xfId="0" applyFont="1" applyFill="1" applyBorder="1"/>
    <xf numFmtId="0" fontId="41" fillId="0" borderId="0" xfId="0" applyFont="1" applyFill="1"/>
    <xf numFmtId="0" fontId="41" fillId="0" borderId="0" xfId="0" applyFont="1" applyFill="1" applyAlignment="1">
      <alignment horizontal="center" vertical="center"/>
    </xf>
    <xf numFmtId="0" fontId="41" fillId="0" borderId="3" xfId="0" applyFont="1" applyFill="1" applyBorder="1"/>
    <xf numFmtId="0" fontId="41" fillId="0" borderId="4" xfId="0" applyFont="1" applyFill="1" applyBorder="1"/>
    <xf numFmtId="0" fontId="41" fillId="0" borderId="4" xfId="0" applyFont="1" applyFill="1" applyBorder="1" applyAlignment="1">
      <alignment horizontal="center" vertical="center"/>
    </xf>
    <xf numFmtId="0" fontId="41" fillId="0" borderId="5" xfId="0" applyFont="1" applyFill="1" applyBorder="1"/>
    <xf numFmtId="0" fontId="41" fillId="0" borderId="0" xfId="0" applyFont="1" applyFill="1" applyBorder="1"/>
    <xf numFmtId="0" fontId="42" fillId="0" borderId="4" xfId="0" applyFont="1" applyFill="1" applyBorder="1"/>
    <xf numFmtId="0" fontId="42" fillId="0" borderId="0" xfId="0" applyFont="1" applyFill="1" applyBorder="1"/>
    <xf numFmtId="0" fontId="42" fillId="0" borderId="0" xfId="0" applyFont="1" applyFill="1"/>
    <xf numFmtId="0" fontId="41" fillId="13" borderId="4" xfId="0" applyFont="1" applyFill="1" applyBorder="1"/>
    <xf numFmtId="0" fontId="41" fillId="13" borderId="0" xfId="0" applyFont="1" applyFill="1" applyBorder="1"/>
    <xf numFmtId="0" fontId="7" fillId="0" borderId="0" xfId="0" applyFont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25" fillId="10" borderId="1" xfId="0" applyFont="1" applyFill="1" applyBorder="1" applyAlignment="1" applyProtection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/>
    </xf>
    <xf numFmtId="0" fontId="6" fillId="0" borderId="21" xfId="0" applyFont="1" applyBorder="1" applyProtection="1">
      <protection locked="0"/>
    </xf>
    <xf numFmtId="0" fontId="6" fillId="0" borderId="11" xfId="0" applyFont="1" applyBorder="1" applyProtection="1">
      <protection locked="0"/>
    </xf>
    <xf numFmtId="0" fontId="25" fillId="0" borderId="6" xfId="0" applyFont="1" applyBorder="1" applyProtection="1"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3" fillId="5" borderId="1" xfId="0" applyFont="1" applyFill="1" applyBorder="1" applyAlignment="1" applyProtection="1">
      <alignment horizontal="center" vertical="center" wrapText="1"/>
      <protection locked="0"/>
    </xf>
    <xf numFmtId="0" fontId="41" fillId="0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41" fillId="0" borderId="0" xfId="0" applyFont="1"/>
    <xf numFmtId="0" fontId="0" fillId="14" borderId="21" xfId="0" applyFont="1" applyFill="1" applyBorder="1"/>
    <xf numFmtId="0" fontId="43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0" fillId="13" borderId="0" xfId="0" applyFont="1" applyFill="1" applyBorder="1"/>
    <xf numFmtId="0" fontId="0" fillId="0" borderId="0" xfId="0" applyFont="1" applyFill="1" applyBorder="1"/>
    <xf numFmtId="0" fontId="0" fillId="0" borderId="0" xfId="0" applyFont="1"/>
    <xf numFmtId="0" fontId="0" fillId="0" borderId="0" xfId="0" applyFont="1" applyFill="1"/>
    <xf numFmtId="0" fontId="0" fillId="0" borderId="11" xfId="0" applyFont="1" applyFill="1" applyBorder="1"/>
    <xf numFmtId="1" fontId="0" fillId="7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0" fillId="0" borderId="19" xfId="0" applyFont="1" applyBorder="1"/>
    <xf numFmtId="0" fontId="0" fillId="7" borderId="1" xfId="0" applyFont="1" applyFill="1" applyBorder="1"/>
    <xf numFmtId="0" fontId="0" fillId="0" borderId="1" xfId="0" applyFont="1" applyFill="1" applyBorder="1" applyAlignment="1">
      <alignment horizontal="center"/>
    </xf>
    <xf numFmtId="0" fontId="0" fillId="0" borderId="19" xfId="0" applyFont="1" applyFill="1" applyBorder="1"/>
    <xf numFmtId="0" fontId="43" fillId="7" borderId="1" xfId="0" applyFont="1" applyFill="1" applyBorder="1"/>
    <xf numFmtId="0" fontId="1" fillId="7" borderId="1" xfId="0" applyFont="1" applyFill="1" applyBorder="1"/>
    <xf numFmtId="164" fontId="1" fillId="0" borderId="1" xfId="0" applyNumberFormat="1" applyFont="1" applyFill="1" applyBorder="1" applyAlignment="1">
      <alignment horizontal="left" vertical="center"/>
    </xf>
    <xf numFmtId="0" fontId="0" fillId="14" borderId="6" xfId="0" applyFont="1" applyFill="1" applyBorder="1"/>
    <xf numFmtId="0" fontId="0" fillId="13" borderId="7" xfId="0" applyFont="1" applyFill="1" applyBorder="1"/>
    <xf numFmtId="0" fontId="0" fillId="7" borderId="14" xfId="0" applyFont="1" applyFill="1" applyBorder="1"/>
    <xf numFmtId="0" fontId="0" fillId="0" borderId="14" xfId="0" applyFont="1" applyFill="1" applyBorder="1" applyAlignment="1">
      <alignment horizontal="center"/>
    </xf>
    <xf numFmtId="0" fontId="1" fillId="7" borderId="14" xfId="0" applyFont="1" applyFill="1" applyBorder="1"/>
    <xf numFmtId="164" fontId="1" fillId="0" borderId="14" xfId="0" applyNumberFormat="1" applyFont="1" applyFill="1" applyBorder="1" applyAlignment="1">
      <alignment horizontal="left" vertical="center"/>
    </xf>
    <xf numFmtId="0" fontId="43" fillId="0" borderId="0" xfId="0" applyFont="1" applyFill="1"/>
    <xf numFmtId="0" fontId="0" fillId="0" borderId="0" xfId="0" applyFont="1" applyFill="1" applyAlignment="1">
      <alignment horizontal="center" vertical="center"/>
    </xf>
    <xf numFmtId="10" fontId="0" fillId="5" borderId="1" xfId="1" applyNumberFormat="1" applyFont="1" applyFill="1" applyBorder="1"/>
    <xf numFmtId="0" fontId="0" fillId="5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 vertical="center" wrapText="1"/>
    </xf>
    <xf numFmtId="0" fontId="0" fillId="5" borderId="1" xfId="0" applyFont="1" applyFill="1" applyBorder="1" applyAlignment="1">
      <alignment horizontal="center" vertical="center"/>
    </xf>
    <xf numFmtId="10" fontId="0" fillId="5" borderId="1" xfId="1" applyNumberFormat="1" applyFont="1" applyFill="1" applyBorder="1" applyAlignment="1">
      <alignment horizontal="center"/>
    </xf>
    <xf numFmtId="0" fontId="0" fillId="5" borderId="14" xfId="0" applyFont="1" applyFill="1" applyBorder="1" applyAlignment="1">
      <alignment horizontal="center"/>
    </xf>
    <xf numFmtId="10" fontId="0" fillId="5" borderId="1" xfId="1" applyNumberFormat="1" applyFont="1" applyFill="1" applyBorder="1" applyAlignment="1">
      <alignment horizontal="center" vertical="center"/>
    </xf>
    <xf numFmtId="0" fontId="41" fillId="9" borderId="4" xfId="0" applyFont="1" applyFill="1" applyBorder="1"/>
    <xf numFmtId="0" fontId="41" fillId="9" borderId="0" xfId="0" applyFont="1" applyFill="1" applyBorder="1"/>
    <xf numFmtId="0" fontId="0" fillId="9" borderId="0" xfId="0" applyFont="1" applyFill="1" applyBorder="1"/>
    <xf numFmtId="0" fontId="0" fillId="9" borderId="7" xfId="0" applyFont="1" applyFill="1" applyBorder="1"/>
    <xf numFmtId="0" fontId="0" fillId="5" borderId="24" xfId="0" applyFont="1" applyFill="1" applyBorder="1" applyAlignment="1">
      <alignment horizontal="center" vertical="center" wrapText="1"/>
    </xf>
    <xf numFmtId="0" fontId="45" fillId="15" borderId="4" xfId="0" applyFont="1" applyFill="1" applyBorder="1"/>
    <xf numFmtId="0" fontId="45" fillId="15" borderId="0" xfId="0" applyFont="1" applyFill="1" applyBorder="1"/>
    <xf numFmtId="0" fontId="46" fillId="15" borderId="0" xfId="0" applyFont="1" applyFill="1" applyBorder="1"/>
    <xf numFmtId="0" fontId="46" fillId="15" borderId="7" xfId="0" applyFont="1" applyFill="1" applyBorder="1"/>
    <xf numFmtId="0" fontId="46" fillId="15" borderId="0" xfId="0" applyFont="1" applyFill="1"/>
    <xf numFmtId="0" fontId="45" fillId="15" borderId="0" xfId="0" applyFont="1" applyFill="1"/>
    <xf numFmtId="0" fontId="0" fillId="17" borderId="1" xfId="0" applyFont="1" applyFill="1" applyBorder="1" applyAlignment="1">
      <alignment wrapText="1"/>
    </xf>
    <xf numFmtId="0" fontId="0" fillId="18" borderId="24" xfId="0" applyFont="1" applyFill="1" applyBorder="1"/>
    <xf numFmtId="0" fontId="0" fillId="18" borderId="1" xfId="0" applyFont="1" applyFill="1" applyBorder="1" applyAlignment="1">
      <alignment wrapText="1"/>
    </xf>
    <xf numFmtId="0" fontId="0" fillId="18" borderId="24" xfId="0" applyFont="1" applyFill="1" applyBorder="1" applyAlignment="1">
      <alignment wrapText="1"/>
    </xf>
    <xf numFmtId="0" fontId="0" fillId="18" borderId="1" xfId="0" applyFont="1" applyFill="1" applyBorder="1" applyAlignment="1">
      <alignment horizontal="center" vertical="center"/>
    </xf>
    <xf numFmtId="0" fontId="0" fillId="18" borderId="1" xfId="0" applyFont="1" applyFill="1" applyBorder="1" applyAlignment="1">
      <alignment horizontal="center" vertical="center" wrapText="1"/>
    </xf>
    <xf numFmtId="0" fontId="43" fillId="18" borderId="1" xfId="0" applyFont="1" applyFill="1" applyBorder="1"/>
    <xf numFmtId="0" fontId="0" fillId="18" borderId="1" xfId="0" applyFont="1" applyFill="1" applyBorder="1"/>
    <xf numFmtId="0" fontId="1" fillId="18" borderId="1" xfId="0" applyFont="1" applyFill="1" applyBorder="1" applyAlignment="1"/>
    <xf numFmtId="0" fontId="1" fillId="18" borderId="1" xfId="0" applyFont="1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 wrapText="1"/>
    </xf>
    <xf numFmtId="0" fontId="0" fillId="17" borderId="24" xfId="0" applyFont="1" applyFill="1" applyBorder="1"/>
    <xf numFmtId="0" fontId="0" fillId="17" borderId="0" xfId="0" applyFont="1" applyFill="1" applyAlignment="1">
      <alignment wrapText="1"/>
    </xf>
    <xf numFmtId="0" fontId="0" fillId="17" borderId="1" xfId="0" applyFont="1" applyFill="1" applyBorder="1" applyAlignment="1"/>
    <xf numFmtId="0" fontId="0" fillId="5" borderId="1" xfId="0" applyFont="1" applyFill="1" applyBorder="1" applyAlignment="1"/>
    <xf numFmtId="0" fontId="0" fillId="0" borderId="23" xfId="0" applyBorder="1"/>
    <xf numFmtId="0" fontId="0" fillId="0" borderId="19" xfId="0" applyBorder="1"/>
    <xf numFmtId="0" fontId="0" fillId="0" borderId="28" xfId="0" applyBorder="1"/>
    <xf numFmtId="0" fontId="0" fillId="0" borderId="24" xfId="0" applyBorder="1"/>
    <xf numFmtId="0" fontId="0" fillId="0" borderId="29" xfId="0" applyBorder="1"/>
    <xf numFmtId="0" fontId="0" fillId="0" borderId="10" xfId="0" applyBorder="1"/>
    <xf numFmtId="0" fontId="0" fillId="19" borderId="0" xfId="0" applyFill="1"/>
    <xf numFmtId="0" fontId="48" fillId="19" borderId="0" xfId="0" applyFont="1" applyFill="1"/>
    <xf numFmtId="0" fontId="27" fillId="0" borderId="1" xfId="0" applyFont="1" applyBorder="1"/>
    <xf numFmtId="0" fontId="0" fillId="16" borderId="0" xfId="0" applyFill="1" applyProtection="1"/>
    <xf numFmtId="0" fontId="0" fillId="4" borderId="1" xfId="0" applyFont="1" applyFill="1" applyBorder="1" applyAlignment="1"/>
    <xf numFmtId="0" fontId="49" fillId="20" borderId="0" xfId="0" applyFont="1" applyFill="1" applyAlignment="1">
      <alignment horizontal="center" vertical="center"/>
    </xf>
    <xf numFmtId="0" fontId="50" fillId="20" borderId="0" xfId="0" applyFont="1" applyFill="1" applyAlignment="1">
      <alignment horizontal="center" vertical="center"/>
    </xf>
    <xf numFmtId="0" fontId="47" fillId="5" borderId="3" xfId="0" applyFont="1" applyFill="1" applyBorder="1" applyAlignment="1">
      <alignment horizontal="center" vertical="center" wrapText="1"/>
    </xf>
    <xf numFmtId="0" fontId="47" fillId="5" borderId="4" xfId="0" applyFont="1" applyFill="1" applyBorder="1" applyAlignment="1">
      <alignment horizontal="center" vertical="center" wrapText="1"/>
    </xf>
    <xf numFmtId="0" fontId="47" fillId="5" borderId="5" xfId="0" applyFont="1" applyFill="1" applyBorder="1" applyAlignment="1">
      <alignment horizontal="center" vertical="center" wrapText="1"/>
    </xf>
    <xf numFmtId="0" fontId="47" fillId="5" borderId="21" xfId="0" applyFont="1" applyFill="1" applyBorder="1" applyAlignment="1">
      <alignment horizontal="center" vertical="center" wrapText="1"/>
    </xf>
    <xf numFmtId="0" fontId="47" fillId="5" borderId="0" xfId="0" applyFont="1" applyFill="1" applyBorder="1" applyAlignment="1">
      <alignment horizontal="center" vertical="center" wrapText="1"/>
    </xf>
    <xf numFmtId="0" fontId="47" fillId="5" borderId="11" xfId="0" applyFont="1" applyFill="1" applyBorder="1" applyAlignment="1">
      <alignment horizontal="center" vertical="center" wrapText="1"/>
    </xf>
    <xf numFmtId="0" fontId="47" fillId="5" borderId="6" xfId="0" applyFont="1" applyFill="1" applyBorder="1" applyAlignment="1">
      <alignment horizontal="center" vertical="center" wrapText="1"/>
    </xf>
    <xf numFmtId="0" fontId="47" fillId="5" borderId="7" xfId="0" applyFont="1" applyFill="1" applyBorder="1" applyAlignment="1">
      <alignment horizontal="center" vertical="center" wrapText="1"/>
    </xf>
    <xf numFmtId="0" fontId="47" fillId="5" borderId="8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44" fillId="16" borderId="19" xfId="0" applyFont="1" applyFill="1" applyBorder="1" applyAlignment="1">
      <alignment horizontal="center" vertical="center"/>
    </xf>
    <xf numFmtId="0" fontId="44" fillId="16" borderId="27" xfId="0" applyFont="1" applyFill="1" applyBorder="1" applyAlignment="1">
      <alignment horizontal="center" vertical="center"/>
    </xf>
    <xf numFmtId="0" fontId="44" fillId="16" borderId="23" xfId="0" applyFont="1" applyFill="1" applyBorder="1" applyAlignment="1">
      <alignment horizontal="center" vertical="center"/>
    </xf>
    <xf numFmtId="10" fontId="0" fillId="5" borderId="1" xfId="1" applyNumberFormat="1" applyFont="1" applyFill="1" applyBorder="1" applyAlignment="1">
      <alignment horizontal="center" vertical="center"/>
    </xf>
    <xf numFmtId="0" fontId="0" fillId="16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36" fillId="8" borderId="20" xfId="0" applyFont="1" applyFill="1" applyBorder="1" applyAlignment="1">
      <alignment horizontal="center" vertical="center"/>
    </xf>
    <xf numFmtId="0" fontId="36" fillId="8" borderId="2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0" fillId="0" borderId="11" xfId="0" applyFont="1" applyBorder="1" applyAlignment="1" applyProtection="1">
      <alignment horizontal="right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3" fillId="8" borderId="5" xfId="0" applyFont="1" applyFill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center" vertical="center"/>
      <protection locked="0"/>
    </xf>
    <xf numFmtId="0" fontId="14" fillId="0" borderId="4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0" fillId="0" borderId="11" xfId="0" applyFont="1" applyBorder="1" applyAlignment="1" applyProtection="1">
      <alignment horizontal="right" vertical="center"/>
    </xf>
    <xf numFmtId="0" fontId="14" fillId="0" borderId="3" xfId="0" applyFont="1" applyBorder="1" applyAlignment="1" applyProtection="1">
      <alignment horizontal="center" vertical="center"/>
    </xf>
    <xf numFmtId="0" fontId="14" fillId="0" borderId="5" xfId="0" applyFont="1" applyBorder="1" applyAlignment="1" applyProtection="1">
      <alignment horizontal="center" vertical="center"/>
    </xf>
    <xf numFmtId="0" fontId="14" fillId="0" borderId="6" xfId="0" applyFont="1" applyBorder="1" applyAlignment="1" applyProtection="1">
      <alignment horizontal="center" vertical="center"/>
    </xf>
    <xf numFmtId="0" fontId="14" fillId="0" borderId="8" xfId="0" applyFont="1" applyBorder="1" applyAlignment="1" applyProtection="1">
      <alignment horizontal="center" vertical="center"/>
    </xf>
    <xf numFmtId="0" fontId="14" fillId="0" borderId="4" xfId="0" applyFont="1" applyBorder="1" applyAlignment="1" applyProtection="1">
      <alignment horizontal="center" vertical="center"/>
    </xf>
    <xf numFmtId="0" fontId="14" fillId="0" borderId="7" xfId="0" applyFont="1" applyBorder="1" applyAlignment="1" applyProtection="1">
      <alignment horizontal="center" vertical="center"/>
    </xf>
    <xf numFmtId="0" fontId="28" fillId="8" borderId="3" xfId="0" applyFont="1" applyFill="1" applyBorder="1" applyAlignment="1" applyProtection="1">
      <alignment horizontal="center" vertical="center"/>
    </xf>
    <xf numFmtId="0" fontId="28" fillId="8" borderId="5" xfId="0" applyFont="1" applyFill="1" applyBorder="1" applyAlignment="1" applyProtection="1">
      <alignment horizontal="center" vertical="center"/>
    </xf>
    <xf numFmtId="0" fontId="13" fillId="0" borderId="7" xfId="0" applyFont="1" applyBorder="1" applyAlignment="1" applyProtection="1">
      <alignment horizontal="center"/>
    </xf>
    <xf numFmtId="0" fontId="7" fillId="0" borderId="3" xfId="0" applyFont="1" applyBorder="1" applyAlignment="1" applyProtection="1">
      <alignment horizontal="center"/>
    </xf>
    <xf numFmtId="0" fontId="7" fillId="0" borderId="5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7" fillId="0" borderId="4" xfId="0" applyFont="1" applyBorder="1" applyAlignment="1" applyProtection="1">
      <alignment horizontal="center"/>
    </xf>
    <xf numFmtId="0" fontId="7" fillId="0" borderId="7" xfId="0" applyFont="1" applyBorder="1" applyAlignment="1" applyProtection="1">
      <alignment horizontal="center"/>
    </xf>
    <xf numFmtId="0" fontId="28" fillId="8" borderId="20" xfId="0" applyFont="1" applyFill="1" applyBorder="1" applyAlignment="1" applyProtection="1">
      <alignment horizontal="center" vertical="center"/>
    </xf>
    <xf numFmtId="0" fontId="28" fillId="8" borderId="22" xfId="0" applyFont="1" applyFill="1" applyBorder="1" applyAlignment="1" applyProtection="1">
      <alignment horizontal="center" vertical="center"/>
    </xf>
    <xf numFmtId="0" fontId="15" fillId="8" borderId="3" xfId="0" applyFont="1" applyFill="1" applyBorder="1" applyAlignment="1" applyProtection="1">
      <alignment horizontal="center" vertical="center"/>
    </xf>
    <xf numFmtId="0" fontId="15" fillId="8" borderId="5" xfId="0" applyFont="1" applyFill="1" applyBorder="1" applyAlignment="1" applyProtection="1">
      <alignment horizontal="center" vertical="center"/>
    </xf>
    <xf numFmtId="0" fontId="35" fillId="8" borderId="20" xfId="0" applyFont="1" applyFill="1" applyBorder="1" applyAlignment="1" applyProtection="1">
      <alignment horizontal="center" vertical="center"/>
    </xf>
    <xf numFmtId="0" fontId="35" fillId="8" borderId="22" xfId="0" applyFont="1" applyFill="1" applyBorder="1" applyAlignment="1" applyProtection="1">
      <alignment horizontal="center" vertical="center"/>
    </xf>
    <xf numFmtId="0" fontId="12" fillId="8" borderId="20" xfId="0" applyFont="1" applyFill="1" applyBorder="1" applyAlignment="1" applyProtection="1">
      <alignment horizontal="center" wrapText="1"/>
      <protection locked="0"/>
    </xf>
    <xf numFmtId="0" fontId="12" fillId="8" borderId="22" xfId="0" applyFont="1" applyFill="1" applyBorder="1" applyAlignment="1" applyProtection="1">
      <alignment horizontal="center" wrapText="1"/>
      <protection locked="0"/>
    </xf>
    <xf numFmtId="0" fontId="12" fillId="8" borderId="20" xfId="0" applyFont="1" applyFill="1" applyBorder="1" applyAlignment="1" applyProtection="1">
      <alignment horizontal="center" vertical="center" wrapText="1"/>
      <protection locked="0"/>
    </xf>
    <xf numFmtId="0" fontId="12" fillId="8" borderId="22" xfId="0" applyFont="1" applyFill="1" applyBorder="1" applyAlignment="1" applyProtection="1">
      <alignment horizontal="center" vertical="center" wrapText="1"/>
      <protection locked="0"/>
    </xf>
    <xf numFmtId="0" fontId="35" fillId="8" borderId="3" xfId="0" applyFont="1" applyFill="1" applyBorder="1" applyAlignment="1" applyProtection="1">
      <alignment horizontal="center" vertical="center"/>
    </xf>
    <xf numFmtId="0" fontId="35" fillId="8" borderId="5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center"/>
    </xf>
    <xf numFmtId="0" fontId="0" fillId="9" borderId="1" xfId="0" applyFont="1" applyFill="1" applyBorder="1" applyAlignment="1">
      <alignment horizontal="center" vertical="center"/>
    </xf>
    <xf numFmtId="0" fontId="0" fillId="9" borderId="26" xfId="0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10" fontId="0" fillId="9" borderId="26" xfId="1" applyNumberFormat="1" applyFont="1" applyFill="1" applyBorder="1" applyAlignment="1">
      <alignment horizontal="left"/>
    </xf>
  </cellXfs>
  <cellStyles count="2">
    <cellStyle name="Normal" xfId="0" builtinId="0"/>
    <cellStyle name="Pourcentage" xfId="1" builtinId="5"/>
  </cellStyles>
  <dxfs count="41">
    <dxf>
      <numFmt numFmtId="165" formatCode="[$-40C]mmm\-yy;@"/>
    </dxf>
    <dxf>
      <numFmt numFmtId="165" formatCode="[$-40C]mmm\-yy;@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40C]mmm\-yy;@"/>
    </dxf>
    <dxf>
      <numFmt numFmtId="0" formatCode="General"/>
    </dxf>
    <dxf>
      <numFmt numFmtId="165" formatCode="[$-40C]mmm\-yy;@"/>
    </dxf>
    <dxf>
      <numFmt numFmtId="1" formatCode="0"/>
    </dxf>
    <dxf>
      <numFmt numFmtId="165" formatCode="[$-40C]mmm\-yy;@"/>
    </dxf>
    <dxf>
      <numFmt numFmtId="0" formatCode="General"/>
    </dxf>
    <dxf>
      <numFmt numFmtId="165" formatCode="[$-40C]mmm\-yy;@"/>
    </dxf>
    <dxf>
      <numFmt numFmtId="0" formatCode="General"/>
    </dxf>
    <dxf>
      <numFmt numFmtId="165" formatCode="[$-40C]mmm\-yy;@"/>
    </dxf>
    <dxf>
      <numFmt numFmtId="0" formatCode="General"/>
    </dxf>
    <dxf>
      <numFmt numFmtId="165" formatCode="[$-40C]mmm\-yy;@"/>
    </dxf>
    <dxf>
      <numFmt numFmtId="165" formatCode="[$-40C]mmm\-yy;@"/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aramond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z val="11"/>
        <color theme="1"/>
        <name val="Calibri"/>
        <family val="2"/>
        <scheme val="minor"/>
      </font>
      <fill>
        <patternFill>
          <bgColor theme="8" tint="0.39994506668294322"/>
        </patternFill>
      </fill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ont>
        <b/>
        <i val="0"/>
        <color rgb="FFFF0000"/>
      </font>
      <fill>
        <patternFill patternType="solid">
          <fgColor theme="0"/>
          <bgColor theme="9" tint="0.59996337778862885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2" defaultTableStyle="TableStyleMedium2" defaultPivotStyle="PivotStyleLight16">
    <tableStyle name="Style de chronologie 1" pivot="0" table="0" count="8" xr9:uid="{405E2EE5-D07F-48C5-AA8C-1DE074637178}">
      <tableStyleElement type="wholeTable" dxfId="40"/>
      <tableStyleElement type="headerRow" dxfId="39"/>
    </tableStyle>
    <tableStyle name="Style de chronologie 2" pivot="0" table="0" count="8" xr9:uid="{036C3C83-6E33-4512-8D19-5BF4D8A2B2FB}">
      <tableStyleElement type="wholeTable" dxfId="38"/>
      <tableStyleElement type="headerRow" dxfId="37"/>
    </tableStyle>
  </tableStyles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2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Style de chronologie 1">
          <x15:timelineStyleElements>
            <x15:timelineStyleElement type="selectionLabel" dxfId="11"/>
            <x15:timelineStyleElement type="timeLevel" dxfId="10"/>
            <x15:timelineStyleElement type="periodLabel1" dxfId="9"/>
            <x15:timelineStyleElement type="periodLabel2" dxfId="8"/>
            <x15:timelineStyleElement type="selectedTimeBlock" dxfId="7"/>
            <x15:timelineStyleElement type="unselectedTimeBlock" dxfId="6"/>
          </x15:timelineStyleElements>
        </x15:timelineStyle>
        <x15:timelineStyle name="Style de chronologie 2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1/relationships/timelineCache" Target="timelineCaches/timeline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[formulaire_controle.xlsm]CALCUL!TCD_LOT_N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fr-FR" sz="1050">
                <a:solidFill>
                  <a:schemeClr val="dk1"/>
                </a:solidFill>
                <a:latin typeface="+mn-lt"/>
                <a:ea typeface="+mn-ea"/>
                <a:cs typeface="+mn-cs"/>
              </a:rPr>
              <a:t>totaux des bdc par lot de la période (N) </a:t>
            </a:r>
            <a:endParaRPr lang="fr-FR" sz="1050"/>
          </a:p>
        </c:rich>
      </c:tx>
      <c:layout>
        <c:manualLayout>
          <c:xMode val="edge"/>
          <c:yMode val="edge"/>
          <c:x val="5.7007033843967006E-2"/>
          <c:y val="0.13210848643919509"/>
        </c:manualLayout>
      </c:layout>
      <c:overlay val="0"/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noFill/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141055326694609"/>
          <c:y val="0.29221959755030619"/>
          <c:w val="0.58079851017616624"/>
          <c:h val="0.5134593175853018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CALCUL!$H$2</c:f>
              <c:strCache>
                <c:ptCount val="1"/>
                <c:pt idx="0">
                  <c:v> Total LOT 1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CALCUL!$G$3:$G$5</c:f>
              <c:strCache>
                <c:ptCount val="2"/>
                <c:pt idx="0">
                  <c:v>30/04/2019</c:v>
                </c:pt>
                <c:pt idx="1">
                  <c:v>31/05/2019</c:v>
                </c:pt>
              </c:strCache>
            </c:strRef>
          </c:cat>
          <c:val>
            <c:numRef>
              <c:f>CALCUL!$H$3:$H$5</c:f>
              <c:numCache>
                <c:formatCode>General</c:formatCode>
                <c:ptCount val="2"/>
                <c:pt idx="0">
                  <c:v>440</c:v>
                </c:pt>
                <c:pt idx="1">
                  <c:v>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7-4C7E-9716-3D14C1F28114}"/>
            </c:ext>
          </c:extLst>
        </c:ser>
        <c:ser>
          <c:idx val="1"/>
          <c:order val="1"/>
          <c:tx>
            <c:strRef>
              <c:f>CALCUL!$I$2</c:f>
              <c:strCache>
                <c:ptCount val="1"/>
                <c:pt idx="0">
                  <c:v> Total BDC LOT 2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cat>
            <c:strRef>
              <c:f>CALCUL!$G$3:$G$5</c:f>
              <c:strCache>
                <c:ptCount val="2"/>
                <c:pt idx="0">
                  <c:v>30/04/2019</c:v>
                </c:pt>
                <c:pt idx="1">
                  <c:v>31/05/2019</c:v>
                </c:pt>
              </c:strCache>
            </c:strRef>
          </c:cat>
          <c:val>
            <c:numRef>
              <c:f>CALCUL!$I$3:$I$5</c:f>
              <c:numCache>
                <c:formatCode>General</c:formatCode>
                <c:ptCount val="2"/>
                <c:pt idx="0">
                  <c:v>183</c:v>
                </c:pt>
                <c:pt idx="1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7-4C7E-9716-3D14C1F28114}"/>
            </c:ext>
          </c:extLst>
        </c:ser>
        <c:ser>
          <c:idx val="2"/>
          <c:order val="2"/>
          <c:tx>
            <c:strRef>
              <c:f>CALCUL!$J$2</c:f>
              <c:strCache>
                <c:ptCount val="1"/>
                <c:pt idx="0">
                  <c:v> Total LOT 3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cat>
            <c:strRef>
              <c:f>CALCUL!$G$3:$G$5</c:f>
              <c:strCache>
                <c:ptCount val="2"/>
                <c:pt idx="0">
                  <c:v>30/04/2019</c:v>
                </c:pt>
                <c:pt idx="1">
                  <c:v>31/05/2019</c:v>
                </c:pt>
              </c:strCache>
            </c:strRef>
          </c:cat>
          <c:val>
            <c:numRef>
              <c:f>CALCUL!$J$3:$J$5</c:f>
              <c:numCache>
                <c:formatCode>General</c:formatCode>
                <c:ptCount val="2"/>
                <c:pt idx="0">
                  <c:v>298</c:v>
                </c:pt>
                <c:pt idx="1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7-4C7E-9716-3D14C1F28114}"/>
            </c:ext>
          </c:extLst>
        </c:ser>
        <c:ser>
          <c:idx val="3"/>
          <c:order val="3"/>
          <c:tx>
            <c:strRef>
              <c:f>CALCUL!$K$2</c:f>
              <c:strCache>
                <c:ptCount val="1"/>
                <c:pt idx="0">
                  <c:v> Total LOT 4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cat>
            <c:strRef>
              <c:f>CALCUL!$G$3:$G$5</c:f>
              <c:strCache>
                <c:ptCount val="2"/>
                <c:pt idx="0">
                  <c:v>30/04/2019</c:v>
                </c:pt>
                <c:pt idx="1">
                  <c:v>31/05/2019</c:v>
                </c:pt>
              </c:strCache>
            </c:strRef>
          </c:cat>
          <c:val>
            <c:numRef>
              <c:f>CALCUL!$K$3:$K$5</c:f>
              <c:numCache>
                <c:formatCode>General</c:formatCode>
                <c:ptCount val="2"/>
                <c:pt idx="0">
                  <c:v>468</c:v>
                </c:pt>
                <c:pt idx="1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7-4C7E-9716-3D14C1F28114}"/>
            </c:ext>
          </c:extLst>
        </c:ser>
        <c:ser>
          <c:idx val="4"/>
          <c:order val="4"/>
          <c:tx>
            <c:strRef>
              <c:f>CALCUL!$L$2</c:f>
              <c:strCache>
                <c:ptCount val="1"/>
                <c:pt idx="0">
                  <c:v> Total BDC SPE. LOT 5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cat>
            <c:strRef>
              <c:f>CALCUL!$G$3:$G$5</c:f>
              <c:strCache>
                <c:ptCount val="2"/>
                <c:pt idx="0">
                  <c:v>30/04/2019</c:v>
                </c:pt>
                <c:pt idx="1">
                  <c:v>31/05/2019</c:v>
                </c:pt>
              </c:strCache>
            </c:strRef>
          </c:cat>
          <c:val>
            <c:numRef>
              <c:f>CALCUL!$L$3:$L$5</c:f>
              <c:numCache>
                <c:formatCode>General</c:formatCode>
                <c:ptCount val="2"/>
                <c:pt idx="0">
                  <c:v>590</c:v>
                </c:pt>
                <c:pt idx="1">
                  <c:v>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7-4C7E-9716-3D14C1F28114}"/>
            </c:ext>
          </c:extLst>
        </c:ser>
        <c:ser>
          <c:idx val="5"/>
          <c:order val="5"/>
          <c:tx>
            <c:strRef>
              <c:f>CALCUL!$M$2</c:f>
              <c:strCache>
                <c:ptCount val="1"/>
                <c:pt idx="0">
                  <c:v> Total PRES. LOT 6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5000"/>
                </a:schemeClr>
              </a:contourClr>
            </a:sp3d>
          </c:spPr>
          <c:invertIfNegative val="0"/>
          <c:cat>
            <c:strRef>
              <c:f>CALCUL!$G$3:$G$5</c:f>
              <c:strCache>
                <c:ptCount val="2"/>
                <c:pt idx="0">
                  <c:v>30/04/2019</c:v>
                </c:pt>
                <c:pt idx="1">
                  <c:v>31/05/2019</c:v>
                </c:pt>
              </c:strCache>
            </c:strRef>
          </c:cat>
          <c:val>
            <c:numRef>
              <c:f>CALCUL!$M$3:$M$5</c:f>
              <c:numCache>
                <c:formatCode>General</c:formatCode>
                <c:ptCount val="2"/>
                <c:pt idx="0">
                  <c:v>1332</c:v>
                </c:pt>
                <c:pt idx="1">
                  <c:v>1498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D7-4C7E-9716-3D14C1F28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584857903"/>
        <c:axId val="1577828511"/>
        <c:axId val="0"/>
      </c:bar3DChart>
      <c:catAx>
        <c:axId val="158485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7828511"/>
        <c:crosses val="autoZero"/>
        <c:auto val="1"/>
        <c:lblAlgn val="ctr"/>
        <c:lblOffset val="100"/>
        <c:noMultiLvlLbl val="0"/>
      </c:catAx>
      <c:valAx>
        <c:axId val="157782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57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315146606437553"/>
          <c:y val="0.1192917760279965"/>
          <c:w val="0.24590613131436109"/>
          <c:h val="0.8723888888888887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[formulaire_controle.xlsm]CALCUL!TCD_BDC_191_N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80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fr-FR" sz="105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situation des bdc 191 sur la période (N)</a:t>
            </a:r>
          </a:p>
        </c:rich>
      </c:tx>
      <c:layout>
        <c:manualLayout>
          <c:xMode val="edge"/>
          <c:yMode val="edge"/>
          <c:x val="2.6223753280839895E-2"/>
          <c:y val="0.10261752300417701"/>
        </c:manualLayout>
      </c:layout>
      <c:overlay val="0"/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noFill/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800" b="1" i="0" u="none" strike="noStrike" kern="1200" cap="all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CALCUL!$AM$2</c:f>
              <c:strCache>
                <c:ptCount val="1"/>
                <c:pt idx="0">
                  <c:v> BDC 191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CALCUL!$AL$3:$AL$5</c:f>
              <c:strCache>
                <c:ptCount val="2"/>
                <c:pt idx="0">
                  <c:v>avr.-19</c:v>
                </c:pt>
                <c:pt idx="1">
                  <c:v>mai-19</c:v>
                </c:pt>
              </c:strCache>
            </c:strRef>
          </c:cat>
          <c:val>
            <c:numRef>
              <c:f>CALCUL!$AM$3:$AM$5</c:f>
              <c:numCache>
                <c:formatCode>General</c:formatCode>
                <c:ptCount val="2"/>
                <c:pt idx="0">
                  <c:v>78</c:v>
                </c:pt>
                <c:pt idx="1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C-4695-B0EF-AB141E5ABDEE}"/>
            </c:ext>
          </c:extLst>
        </c:ser>
        <c:ser>
          <c:idx val="1"/>
          <c:order val="1"/>
          <c:tx>
            <c:strRef>
              <c:f>CALCUL!$AN$2</c:f>
              <c:strCache>
                <c:ptCount val="1"/>
                <c:pt idx="0">
                  <c:v> BDC 191 régul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CALCUL!$AL$3:$AL$5</c:f>
              <c:strCache>
                <c:ptCount val="2"/>
                <c:pt idx="0">
                  <c:v>avr.-19</c:v>
                </c:pt>
                <c:pt idx="1">
                  <c:v>mai-19</c:v>
                </c:pt>
              </c:strCache>
            </c:strRef>
          </c:cat>
          <c:val>
            <c:numRef>
              <c:f>CALCUL!$AN$3:$AN$5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774C-4695-B0EF-AB141E5ABDEE}"/>
            </c:ext>
          </c:extLst>
        </c:ser>
        <c:ser>
          <c:idx val="2"/>
          <c:order val="2"/>
          <c:tx>
            <c:strRef>
              <c:f>CALCUL!$AO$2</c:f>
              <c:strCache>
                <c:ptCount val="1"/>
                <c:pt idx="0">
                  <c:v> BDC 191 non régul.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CALCUL!$AL$3:$AL$5</c:f>
              <c:strCache>
                <c:ptCount val="2"/>
                <c:pt idx="0">
                  <c:v>avr.-19</c:v>
                </c:pt>
                <c:pt idx="1">
                  <c:v>mai-19</c:v>
                </c:pt>
              </c:strCache>
            </c:strRef>
          </c:cat>
          <c:val>
            <c:numRef>
              <c:f>CALCUL!$AO$3:$AO$5</c:f>
              <c:numCache>
                <c:formatCode>General</c:formatCode>
                <c:ptCount val="2"/>
                <c:pt idx="0">
                  <c:v>78</c:v>
                </c:pt>
                <c:pt idx="1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4C-4695-B0EF-AB141E5A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08127967"/>
        <c:axId val="1574274047"/>
        <c:axId val="0"/>
      </c:bar3DChart>
      <c:catAx>
        <c:axId val="160812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4274047"/>
        <c:crosses val="autoZero"/>
        <c:auto val="1"/>
        <c:lblAlgn val="ctr"/>
        <c:lblOffset val="100"/>
        <c:noMultiLvlLbl val="0"/>
      </c:catAx>
      <c:valAx>
        <c:axId val="157427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0812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[formulaire_controle.xlsm]CALCUL!TCD_BDC_187_N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80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fr-FR" sz="105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situation des bdc 187 sur la période (N)</a:t>
            </a:r>
          </a:p>
        </c:rich>
      </c:tx>
      <c:layout>
        <c:manualLayout>
          <c:xMode val="edge"/>
          <c:yMode val="edge"/>
          <c:x val="3.1588473315835509E-2"/>
          <c:y val="0.10148731408573929"/>
        </c:manualLayout>
      </c:layout>
      <c:overlay val="0"/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noFill/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800" b="1" i="0" u="none" strike="noStrike" kern="1200" cap="all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9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9059492563429566E-2"/>
          <c:y val="0.25689634949477469"/>
          <c:w val="0.67305200131233578"/>
          <c:h val="0.5527359080114985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CALCUL!$AC$2</c:f>
              <c:strCache>
                <c:ptCount val="1"/>
                <c:pt idx="0">
                  <c:v> BDC 187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CALCUL!$AB$3:$AB$5</c:f>
              <c:strCache>
                <c:ptCount val="2"/>
                <c:pt idx="0">
                  <c:v>avr.-19</c:v>
                </c:pt>
                <c:pt idx="1">
                  <c:v>mai-19</c:v>
                </c:pt>
              </c:strCache>
            </c:strRef>
          </c:cat>
          <c:val>
            <c:numRef>
              <c:f>CALCUL!$AC$3:$AC$5</c:f>
              <c:numCache>
                <c:formatCode>General</c:formatCode>
                <c:ptCount val="2"/>
                <c:pt idx="0">
                  <c:v>284</c:v>
                </c:pt>
                <c:pt idx="1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C4-4ACA-ADB2-DE4A0C13B4E6}"/>
            </c:ext>
          </c:extLst>
        </c:ser>
        <c:ser>
          <c:idx val="1"/>
          <c:order val="1"/>
          <c:tx>
            <c:strRef>
              <c:f>CALCUL!$AD$2</c:f>
              <c:strCache>
                <c:ptCount val="1"/>
                <c:pt idx="0">
                  <c:v> BDC 187 régul.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CALCUL!$AB$3:$AB$5</c:f>
              <c:strCache>
                <c:ptCount val="2"/>
                <c:pt idx="0">
                  <c:v>avr.-19</c:v>
                </c:pt>
                <c:pt idx="1">
                  <c:v>mai-19</c:v>
                </c:pt>
              </c:strCache>
            </c:strRef>
          </c:cat>
          <c:val>
            <c:numRef>
              <c:f>CALCUL!$AD$3:$AD$5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F9C4-4ACA-ADB2-DE4A0C13B4E6}"/>
            </c:ext>
          </c:extLst>
        </c:ser>
        <c:ser>
          <c:idx val="2"/>
          <c:order val="2"/>
          <c:tx>
            <c:strRef>
              <c:f>CALCUL!$AE$2</c:f>
              <c:strCache>
                <c:ptCount val="1"/>
                <c:pt idx="0">
                  <c:v> BDC 187 non régul.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CALCUL!$AB$3:$AB$5</c:f>
              <c:strCache>
                <c:ptCount val="2"/>
                <c:pt idx="0">
                  <c:v>avr.-19</c:v>
                </c:pt>
                <c:pt idx="1">
                  <c:v>mai-19</c:v>
                </c:pt>
              </c:strCache>
            </c:strRef>
          </c:cat>
          <c:val>
            <c:numRef>
              <c:f>CALCUL!$AE$3:$AE$5</c:f>
              <c:numCache>
                <c:formatCode>General</c:formatCode>
                <c:ptCount val="2"/>
                <c:pt idx="0">
                  <c:v>284</c:v>
                </c:pt>
                <c:pt idx="1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4-4ACA-ADB2-DE4A0C13B4E6}"/>
            </c:ext>
          </c:extLst>
        </c:ser>
        <c:ser>
          <c:idx val="3"/>
          <c:order val="3"/>
          <c:tx>
            <c:strRef>
              <c:f>CALCUL!$AF$2</c:f>
              <c:strCache>
                <c:ptCount val="1"/>
                <c:pt idx="0">
                  <c:v>Somme de Commerce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CALCUL!$AB$3:$AB$5</c:f>
              <c:strCache>
                <c:ptCount val="2"/>
                <c:pt idx="0">
                  <c:v>avr.-19</c:v>
                </c:pt>
                <c:pt idx="1">
                  <c:v>mai-19</c:v>
                </c:pt>
              </c:strCache>
            </c:strRef>
          </c:cat>
          <c:val>
            <c:numRef>
              <c:f>CALCUL!$AF$3:$AF$5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5-474F-B218-6B066720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10076607"/>
        <c:axId val="1584843615"/>
        <c:axId val="0"/>
      </c:bar3DChart>
      <c:catAx>
        <c:axId val="161007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43615"/>
        <c:crosses val="autoZero"/>
        <c:auto val="1"/>
        <c:lblAlgn val="ctr"/>
        <c:lblOffset val="100"/>
        <c:noMultiLvlLbl val="0"/>
      </c:catAx>
      <c:valAx>
        <c:axId val="158484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007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58371609798771"/>
          <c:y val="0.2232359416611385"/>
          <c:w val="0.22441639637691935"/>
          <c:h val="0.33497759875157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[formulaire_controle.xlsm]CALCUL!TCD_MASSE_N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80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fr-FR" sz="105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EVOLUTION DE LA MASSE SALARIAL ET SES COMPOSANTES ENsur la periode (n)</a:t>
            </a:r>
          </a:p>
        </c:rich>
      </c:tx>
      <c:layout>
        <c:manualLayout>
          <c:xMode val="edge"/>
          <c:yMode val="edge"/>
          <c:x val="2.7560000945827712E-2"/>
          <c:y val="8.7616954857387019E-2"/>
        </c:manualLayout>
      </c:layout>
      <c:overlay val="0"/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2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800" b="1" i="0" u="none" strike="noStrike" kern="1200" cap="all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009322510182916"/>
          <c:y val="0.24726553324978523"/>
          <c:w val="0.68963584849907"/>
          <c:h val="0.5806512023834858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CALCUL!$C$2</c:f>
              <c:strCache>
                <c:ptCount val="1"/>
                <c:pt idx="0">
                  <c:v> MONTANT MASSE TOTAL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CALCUL!$B$3:$B$5</c:f>
              <c:strCache>
                <c:ptCount val="2"/>
                <c:pt idx="0">
                  <c:v>avr.-19</c:v>
                </c:pt>
                <c:pt idx="1">
                  <c:v>mai-19</c:v>
                </c:pt>
              </c:strCache>
            </c:strRef>
          </c:cat>
          <c:val>
            <c:numRef>
              <c:f>CALCUL!$C$3:$C$5</c:f>
              <c:numCache>
                <c:formatCode>General</c:formatCode>
                <c:ptCount val="2"/>
                <c:pt idx="0">
                  <c:v>51715412338</c:v>
                </c:pt>
                <c:pt idx="1">
                  <c:v>51724048698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1-4F0D-9898-6A9D10A5AEE3}"/>
            </c:ext>
          </c:extLst>
        </c:ser>
        <c:ser>
          <c:idx val="1"/>
          <c:order val="1"/>
          <c:tx>
            <c:strRef>
              <c:f>CALCUL!$D$2</c:f>
              <c:strCache>
                <c:ptCount val="1"/>
                <c:pt idx="0">
                  <c:v> MONTANT PERMANENT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CALCUL!$B$3:$B$5</c:f>
              <c:strCache>
                <c:ptCount val="2"/>
                <c:pt idx="0">
                  <c:v>avr.-19</c:v>
                </c:pt>
                <c:pt idx="1">
                  <c:v>mai-19</c:v>
                </c:pt>
              </c:strCache>
            </c:strRef>
          </c:cat>
          <c:val>
            <c:numRef>
              <c:f>CALCUL!$D$3:$D$5</c:f>
              <c:numCache>
                <c:formatCode>General</c:formatCode>
                <c:ptCount val="2"/>
                <c:pt idx="0">
                  <c:v>50728442338</c:v>
                </c:pt>
                <c:pt idx="1">
                  <c:v>50734928698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1-4F0D-9898-6A9D10A5AEE3}"/>
            </c:ext>
          </c:extLst>
        </c:ser>
        <c:ser>
          <c:idx val="2"/>
          <c:order val="2"/>
          <c:tx>
            <c:strRef>
              <c:f>CALCUL!$E$2</c:f>
              <c:strCache>
                <c:ptCount val="1"/>
                <c:pt idx="0">
                  <c:v> MONTANT PRESALAIRE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CALCUL!$B$3:$B$5</c:f>
              <c:strCache>
                <c:ptCount val="2"/>
                <c:pt idx="0">
                  <c:v>avr.-19</c:v>
                </c:pt>
                <c:pt idx="1">
                  <c:v>mai-19</c:v>
                </c:pt>
              </c:strCache>
            </c:strRef>
          </c:cat>
          <c:val>
            <c:numRef>
              <c:f>CALCUL!$E$3:$E$5</c:f>
              <c:numCache>
                <c:formatCode>General</c:formatCode>
                <c:ptCount val="2"/>
                <c:pt idx="0">
                  <c:v>986970000</c:v>
                </c:pt>
                <c:pt idx="1">
                  <c:v>989120000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1-4F0D-9898-6A9D10A5A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611141487"/>
        <c:axId val="1619032207"/>
        <c:axId val="0"/>
      </c:bar3DChart>
      <c:catAx>
        <c:axId val="1611141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9032207"/>
        <c:crosses val="autoZero"/>
        <c:auto val="1"/>
        <c:lblAlgn val="ctr"/>
        <c:lblOffset val="100"/>
        <c:noMultiLvlLbl val="0"/>
      </c:catAx>
      <c:valAx>
        <c:axId val="161903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1141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648743231420394"/>
          <c:y val="9.8481178224814905E-2"/>
          <c:w val="0.19173914071551867"/>
          <c:h val="0.876459396063864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g"/><Relationship Id="rId3" Type="http://schemas.openxmlformats.org/officeDocument/2006/relationships/hyperlink" Target="#BDC_LOT_N&#176;_1!A1"/><Relationship Id="rId7" Type="http://schemas.openxmlformats.org/officeDocument/2006/relationships/hyperlink" Target="#BDC_PRESALAIRE_LOT_N&#176;_6!A1"/><Relationship Id="rId2" Type="http://schemas.openxmlformats.org/officeDocument/2006/relationships/hyperlink" Target="#MASSE_SALARIALE!A1"/><Relationship Id="rId1" Type="http://schemas.openxmlformats.org/officeDocument/2006/relationships/hyperlink" Target="#TABLO_2_BORD!A1"/><Relationship Id="rId6" Type="http://schemas.openxmlformats.org/officeDocument/2006/relationships/hyperlink" Target="#BDC_LOT_N&#176;_4!A1"/><Relationship Id="rId5" Type="http://schemas.openxmlformats.org/officeDocument/2006/relationships/hyperlink" Target="#BDC_LOT_N&#176;_3!A1"/><Relationship Id="rId10" Type="http://schemas.openxmlformats.org/officeDocument/2006/relationships/hyperlink" Target="#ACCUEIL!A1"/><Relationship Id="rId4" Type="http://schemas.openxmlformats.org/officeDocument/2006/relationships/hyperlink" Target="#BDC_LOT_N&#176;_2!A1"/><Relationship Id="rId9" Type="http://schemas.openxmlformats.org/officeDocument/2006/relationships/hyperlink" Target="#BDC_LOT_N&#176;_5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ACCUEIL!A1"/><Relationship Id="rId2" Type="http://schemas.openxmlformats.org/officeDocument/2006/relationships/image" Target="../media/image4.jpg"/><Relationship Id="rId1" Type="http://schemas.openxmlformats.org/officeDocument/2006/relationships/hyperlink" Target="#TABLO_2_BORD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MENU_ADMIN!A1"/><Relationship Id="rId2" Type="http://schemas.openxmlformats.org/officeDocument/2006/relationships/chart" Target="../charts/chart1.xml"/><Relationship Id="rId1" Type="http://schemas.openxmlformats.org/officeDocument/2006/relationships/hyperlink" Target="#MENU_USER!A1"/><Relationship Id="rId6" Type="http://schemas.openxmlformats.org/officeDocument/2006/relationships/image" Target="../media/image7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_ADMI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MENU_ADMIN!A1"/><Relationship Id="rId1" Type="http://schemas.openxmlformats.org/officeDocument/2006/relationships/image" Target="../media/image8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MENU_ADMIN!A1"/><Relationship Id="rId1" Type="http://schemas.openxmlformats.org/officeDocument/2006/relationships/image" Target="../media/image8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MENU_ADMIN!A1"/><Relationship Id="rId1" Type="http://schemas.openxmlformats.org/officeDocument/2006/relationships/image" Target="../media/image8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MENU_ADMIN!A1"/><Relationship Id="rId1" Type="http://schemas.openxmlformats.org/officeDocument/2006/relationships/image" Target="../media/image8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_ADMIN!A1"/><Relationship Id="rId1" Type="http://schemas.openxmlformats.org/officeDocument/2006/relationships/image" Target="../media/image8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MENU_ADMIN!A1"/><Relationship Id="rId1" Type="http://schemas.openxmlformats.org/officeDocument/2006/relationships/image" Target="../media/image8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85726</xdr:colOff>
      <xdr:row>5</xdr:row>
      <xdr:rowOff>76200</xdr:rowOff>
    </xdr:from>
    <xdr:to>
      <xdr:col>16</xdr:col>
      <xdr:colOff>552450</xdr:colOff>
      <xdr:row>40</xdr:row>
      <xdr:rowOff>123825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9726" y="1076325"/>
          <a:ext cx="7324724" cy="6715125"/>
        </a:xfrm>
        <a:prstGeom prst="ellipse">
          <a:avLst/>
        </a:prstGeom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142875</xdr:rowOff>
        </xdr:from>
        <xdr:to>
          <xdr:col>3</xdr:col>
          <xdr:colOff>57150</xdr:colOff>
          <xdr:row>3</xdr:row>
          <xdr:rowOff>171450</xdr:rowOff>
        </xdr:to>
        <xdr:sp macro="" textlink="">
          <xdr:nvSpPr>
            <xdr:cNvPr id="25601" name="LogOut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161925</xdr:rowOff>
        </xdr:from>
        <xdr:to>
          <xdr:col>6</xdr:col>
          <xdr:colOff>200025</xdr:colOff>
          <xdr:row>3</xdr:row>
          <xdr:rowOff>171450</xdr:rowOff>
        </xdr:to>
        <xdr:sp macro="" textlink="">
          <xdr:nvSpPr>
            <xdr:cNvPr id="25602" name="CommandButton1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1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314325</xdr:colOff>
      <xdr:row>4</xdr:row>
      <xdr:rowOff>104775</xdr:rowOff>
    </xdr:from>
    <xdr:to>
      <xdr:col>5</xdr:col>
      <xdr:colOff>323850</xdr:colOff>
      <xdr:row>11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14325" y="914400"/>
          <a:ext cx="3819525" cy="12382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GUIDE D'UTILISATION</a:t>
          </a:r>
        </a:p>
        <a:p>
          <a:pPr algn="ctr"/>
          <a:endParaRPr lang="fr-FR" sz="1100"/>
        </a:p>
        <a:p>
          <a:pPr algn="ctr"/>
          <a:endParaRPr lang="fr-FR" sz="1100"/>
        </a:p>
        <a:p>
          <a:pPr algn="ctr"/>
          <a:r>
            <a:rPr lang="fr-FR" sz="1100"/>
            <a:t> Cliquer sur</a:t>
          </a:r>
          <a:r>
            <a:rPr lang="fr-FR" sz="1100" baseline="0"/>
            <a:t> le boutton démarrer puis entrer le Login,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200025</xdr:colOff>
      <xdr:row>20</xdr:row>
      <xdr:rowOff>123826</xdr:rowOff>
    </xdr:from>
    <xdr:to>
      <xdr:col>15</xdr:col>
      <xdr:colOff>180975</xdr:colOff>
      <xdr:row>24</xdr:row>
      <xdr:rowOff>114226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82025" y="3933826"/>
          <a:ext cx="3028950" cy="752400"/>
        </a:xfrm>
        <a:prstGeom prst="rect">
          <a:avLst/>
        </a:prstGeom>
        <a:solidFill>
          <a:schemeClr val="accent6">
            <a:alpha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TABLEAU DE BORD</a:t>
          </a:r>
        </a:p>
      </xdr:txBody>
    </xdr:sp>
    <xdr:clientData/>
  </xdr:twoCellAnchor>
  <xdr:twoCellAnchor>
    <xdr:from>
      <xdr:col>15</xdr:col>
      <xdr:colOff>447675</xdr:colOff>
      <xdr:row>32</xdr:row>
      <xdr:rowOff>19050</xdr:rowOff>
    </xdr:from>
    <xdr:to>
      <xdr:col>19</xdr:col>
      <xdr:colOff>314325</xdr:colOff>
      <xdr:row>36</xdr:row>
      <xdr:rowOff>9450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353675" y="6115050"/>
          <a:ext cx="3028950" cy="7524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haroni" panose="02010803020104030203" pitchFamily="2" charset="-79"/>
              <a:cs typeface="Aharoni" panose="02010803020104030203" pitchFamily="2" charset="-79"/>
            </a:rPr>
            <a:t>FORMULAIRE</a:t>
          </a:r>
          <a:br>
            <a:rPr lang="fr-FR" sz="2400" b="1">
              <a:latin typeface="Aharoni" panose="02010803020104030203" pitchFamily="2" charset="-79"/>
              <a:cs typeface="Aharoni" panose="02010803020104030203" pitchFamily="2" charset="-79"/>
            </a:rPr>
          </a:br>
          <a:r>
            <a:rPr lang="fr-FR" sz="2400" b="1">
              <a:latin typeface="Aharoni" panose="02010803020104030203" pitchFamily="2" charset="-79"/>
              <a:cs typeface="Aharoni" panose="02010803020104030203" pitchFamily="2" charset="-79"/>
            </a:rPr>
            <a:t>MASSE</a:t>
          </a:r>
          <a:r>
            <a:rPr lang="fr-FR" sz="2400" b="1" baseline="0">
              <a:latin typeface="Aharoni" panose="02010803020104030203" pitchFamily="2" charset="-79"/>
              <a:cs typeface="Aharoni" panose="02010803020104030203" pitchFamily="2" charset="-79"/>
            </a:rPr>
            <a:t> SALARIALE</a:t>
          </a:r>
          <a:endParaRPr lang="fr-FR" sz="24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219075</xdr:colOff>
      <xdr:row>27</xdr:row>
      <xdr:rowOff>57150</xdr:rowOff>
    </xdr:from>
    <xdr:to>
      <xdr:col>7</xdr:col>
      <xdr:colOff>200025</xdr:colOff>
      <xdr:row>31</xdr:row>
      <xdr:rowOff>47550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81075" y="5200650"/>
          <a:ext cx="3028950" cy="7524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FORMULAIRE</a:t>
          </a:r>
          <a:b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</a:br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BDC_LOT_N°_</a:t>
          </a:r>
          <a:r>
            <a:rPr lang="fr-FR" sz="3200" b="1">
              <a:latin typeface="Aharoni" panose="02010803020104030203" pitchFamily="2" charset="-79"/>
              <a:cs typeface="Aharoni" panose="02010803020104030203" pitchFamily="2" charset="-79"/>
            </a:rPr>
            <a:t>1</a:t>
          </a:r>
          <a:endParaRPr lang="fr-FR" sz="20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7</xdr:col>
      <xdr:colOff>457200</xdr:colOff>
      <xdr:row>27</xdr:row>
      <xdr:rowOff>38100</xdr:rowOff>
    </xdr:from>
    <xdr:to>
      <xdr:col>11</xdr:col>
      <xdr:colOff>438150</xdr:colOff>
      <xdr:row>31</xdr:row>
      <xdr:rowOff>28500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267200" y="5181600"/>
          <a:ext cx="3028950" cy="7524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FORMULAIRE</a:t>
          </a:r>
          <a:b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</a:br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BDC_LOT_N°_</a:t>
          </a:r>
          <a:r>
            <a:rPr lang="fr-FR" sz="3200" b="1">
              <a:latin typeface="Aharoni" panose="02010803020104030203" pitchFamily="2" charset="-79"/>
              <a:cs typeface="Aharoni" panose="02010803020104030203" pitchFamily="2" charset="-79"/>
            </a:rPr>
            <a:t>2</a:t>
          </a:r>
          <a:endParaRPr lang="fr-FR" sz="20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11</xdr:col>
      <xdr:colOff>666750</xdr:colOff>
      <xdr:row>27</xdr:row>
      <xdr:rowOff>38100</xdr:rowOff>
    </xdr:from>
    <xdr:to>
      <xdr:col>16</xdr:col>
      <xdr:colOff>0</xdr:colOff>
      <xdr:row>31</xdr:row>
      <xdr:rowOff>28500</xdr:rowOff>
    </xdr:to>
    <xdr:sp macro="" textlink="">
      <xdr:nvSpPr>
        <xdr:cNvPr id="7" name="Rectangl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524750" y="5181600"/>
          <a:ext cx="3143250" cy="7524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FORMULAIRE</a:t>
          </a:r>
          <a:b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</a:br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BDC_LOT_N°_</a:t>
          </a:r>
          <a:r>
            <a:rPr lang="fr-FR" sz="3200" b="1">
              <a:latin typeface="Aharoni" panose="02010803020104030203" pitchFamily="2" charset="-79"/>
              <a:cs typeface="Aharoni" panose="02010803020104030203" pitchFamily="2" charset="-79"/>
            </a:rPr>
            <a:t>3</a:t>
          </a:r>
          <a:endParaRPr lang="fr-FR" sz="20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16</xdr:col>
      <xdr:colOff>190500</xdr:colOff>
      <xdr:row>27</xdr:row>
      <xdr:rowOff>47625</xdr:rowOff>
    </xdr:from>
    <xdr:to>
      <xdr:col>20</xdr:col>
      <xdr:colOff>171450</xdr:colOff>
      <xdr:row>31</xdr:row>
      <xdr:rowOff>38025</xdr:rowOff>
    </xdr:to>
    <xdr:sp macro="" textlink="">
      <xdr:nvSpPr>
        <xdr:cNvPr id="8" name="Rectangle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0858500" y="5191125"/>
          <a:ext cx="3143250" cy="7524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FORMULAIRE</a:t>
          </a:r>
          <a:b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</a:br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BDC_LOT_N°_</a:t>
          </a:r>
          <a:r>
            <a:rPr lang="fr-FR" sz="3200" b="1">
              <a:latin typeface="Aharoni" panose="02010803020104030203" pitchFamily="2" charset="-79"/>
              <a:cs typeface="Aharoni" panose="02010803020104030203" pitchFamily="2" charset="-79"/>
            </a:rPr>
            <a:t>4</a:t>
          </a:r>
          <a:endParaRPr lang="fr-FR" sz="20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10</xdr:col>
      <xdr:colOff>104775</xdr:colOff>
      <xdr:row>32</xdr:row>
      <xdr:rowOff>38100</xdr:rowOff>
    </xdr:from>
    <xdr:to>
      <xdr:col>14</xdr:col>
      <xdr:colOff>85725</xdr:colOff>
      <xdr:row>36</xdr:row>
      <xdr:rowOff>28500</xdr:rowOff>
    </xdr:to>
    <xdr:sp macro="" textlink="">
      <xdr:nvSpPr>
        <xdr:cNvPr id="10" name="Rectangl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200775" y="6134100"/>
          <a:ext cx="3028950" cy="75240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FORMULAIRE BDC</a:t>
          </a:r>
          <a:br>
            <a:rPr lang="fr-FR" sz="2400" b="1">
              <a:latin typeface="Aharoni" panose="02010803020104030203" pitchFamily="2" charset="-79"/>
              <a:cs typeface="Aharoni" panose="02010803020104030203" pitchFamily="2" charset="-79"/>
            </a:rPr>
          </a:br>
          <a:r>
            <a:rPr lang="fr-FR" sz="2400" b="1">
              <a:latin typeface="Aharoni" panose="02010803020104030203" pitchFamily="2" charset="-79"/>
              <a:cs typeface="Aharoni" panose="02010803020104030203" pitchFamily="2" charset="-79"/>
            </a:rPr>
            <a:t>PRES_LOT</a:t>
          </a:r>
          <a:r>
            <a:rPr lang="fr-FR" sz="2400" b="1" baseline="0">
              <a:latin typeface="Aharoni" panose="02010803020104030203" pitchFamily="2" charset="-79"/>
              <a:cs typeface="Aharoni" panose="02010803020104030203" pitchFamily="2" charset="-79"/>
            </a:rPr>
            <a:t>_</a:t>
          </a:r>
          <a:r>
            <a:rPr lang="fr-FR" sz="3200" b="1" baseline="0">
              <a:latin typeface="Aharoni" panose="02010803020104030203" pitchFamily="2" charset="-79"/>
              <a:cs typeface="Aharoni" panose="02010803020104030203" pitchFamily="2" charset="-79"/>
            </a:rPr>
            <a:t>6</a:t>
          </a:r>
          <a:endParaRPr lang="fr-FR" sz="24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11</xdr:col>
      <xdr:colOff>647701</xdr:colOff>
      <xdr:row>13</xdr:row>
      <xdr:rowOff>142875</xdr:rowOff>
    </xdr:from>
    <xdr:to>
      <xdr:col>14</xdr:col>
      <xdr:colOff>209550</xdr:colOff>
      <xdr:row>19</xdr:row>
      <xdr:rowOff>122700</xdr:rowOff>
    </xdr:to>
    <xdr:pic macro="[0]!actualise_tableau">
      <xdr:nvPicPr>
        <xdr:cNvPr id="15" name="Imag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9701" y="2619375"/>
          <a:ext cx="1847849" cy="1122825"/>
        </a:xfrm>
        <a:prstGeom prst="ellipse">
          <a:avLst/>
        </a:prstGeom>
        <a:ln w="190500" cap="rnd">
          <a:solidFill>
            <a:srgbClr val="FFFF00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>
    <xdr:from>
      <xdr:col>5</xdr:col>
      <xdr:colOff>85726</xdr:colOff>
      <xdr:row>32</xdr:row>
      <xdr:rowOff>38100</xdr:rowOff>
    </xdr:from>
    <xdr:to>
      <xdr:col>9</xdr:col>
      <xdr:colOff>85726</xdr:colOff>
      <xdr:row>36</xdr:row>
      <xdr:rowOff>28500</xdr:rowOff>
    </xdr:to>
    <xdr:sp macro="" textlink="">
      <xdr:nvSpPr>
        <xdr:cNvPr id="9" name="Rectangle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371726" y="6134100"/>
          <a:ext cx="3048000" cy="752400"/>
        </a:xfrm>
        <a:prstGeom prst="rect">
          <a:avLst/>
        </a:prstGeom>
        <a:solidFill>
          <a:schemeClr val="accent6">
            <a:alpha val="47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FORMULAIRE</a:t>
          </a:r>
          <a:b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</a:br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BDC_SPE_LOT_N°_</a:t>
          </a:r>
          <a:r>
            <a:rPr lang="fr-FR" sz="3200" b="1">
              <a:latin typeface="Aharoni" panose="02010803020104030203" pitchFamily="2" charset="-79"/>
              <a:cs typeface="Aharoni" panose="02010803020104030203" pitchFamily="2" charset="-79"/>
            </a:rPr>
            <a:t>5</a:t>
          </a:r>
          <a:endParaRPr lang="fr-FR" sz="2000" b="1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7</xdr:col>
      <xdr:colOff>171450</xdr:colOff>
      <xdr:row>12</xdr:row>
      <xdr:rowOff>161925</xdr:rowOff>
    </xdr:from>
    <xdr:to>
      <xdr:col>10</xdr:col>
      <xdr:colOff>352425</xdr:colOff>
      <xdr:row>19</xdr:row>
      <xdr:rowOff>180975</xdr:rowOff>
    </xdr:to>
    <xdr:sp macro="" textlink="">
      <xdr:nvSpPr>
        <xdr:cNvPr id="3" name="Bulle narrative : rond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05450" y="2457450"/>
          <a:ext cx="2466975" cy="1352550"/>
        </a:xfrm>
        <a:prstGeom prst="wedgeEllipseCallout">
          <a:avLst>
            <a:gd name="adj1" fmla="val 123233"/>
            <a:gd name="adj2" fmla="val 4949"/>
          </a:avLst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54000">
              <a:schemeClr val="accent2">
                <a:lumMod val="0"/>
                <a:lumOff val="100000"/>
              </a:schemeClr>
            </a:gs>
            <a:gs pos="46000">
              <a:srgbClr val="F6BE98"/>
            </a:gs>
            <a:gs pos="91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rgbClr val="FF0000"/>
              </a:solidFill>
            </a:rPr>
            <a:t>CLIQUEZ SUR CE BOUTTON</a:t>
          </a:r>
          <a:r>
            <a:rPr lang="fr-FR" sz="1200" b="1" baseline="0">
              <a:solidFill>
                <a:srgbClr val="FF0000"/>
              </a:solidFill>
            </a:rPr>
            <a:t> AVANT DE CLIQUER SUR CELUI DU TABLEAU DE BORD</a:t>
          </a:r>
          <a:endParaRPr lang="fr-GA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438150</xdr:colOff>
      <xdr:row>16</xdr:row>
      <xdr:rowOff>66675</xdr:rowOff>
    </xdr:from>
    <xdr:to>
      <xdr:col>3</xdr:col>
      <xdr:colOff>133350</xdr:colOff>
      <xdr:row>19</xdr:row>
      <xdr:rowOff>0</xdr:rowOff>
    </xdr:to>
    <xdr:sp macro="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38150" y="3124200"/>
          <a:ext cx="1981200" cy="504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/>
            <a:t>ACCUEIL</a:t>
          </a:r>
          <a:endParaRPr lang="fr-GA" sz="2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200025</xdr:colOff>
      <xdr:row>20</xdr:row>
      <xdr:rowOff>123826</xdr:rowOff>
    </xdr:from>
    <xdr:to>
      <xdr:col>15</xdr:col>
      <xdr:colOff>180975</xdr:colOff>
      <xdr:row>24</xdr:row>
      <xdr:rowOff>114226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582025" y="3943351"/>
          <a:ext cx="3028950" cy="752400"/>
        </a:xfrm>
        <a:prstGeom prst="rect">
          <a:avLst/>
        </a:prstGeom>
        <a:solidFill>
          <a:schemeClr val="accent6">
            <a:alpha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atin typeface="Aharoni" panose="02010803020104030203" pitchFamily="2" charset="-79"/>
              <a:cs typeface="Aharoni" panose="02010803020104030203" pitchFamily="2" charset="-79"/>
            </a:rPr>
            <a:t>TABLEAU DE BORD</a:t>
          </a:r>
        </a:p>
      </xdr:txBody>
    </xdr:sp>
    <xdr:clientData/>
  </xdr:twoCellAnchor>
  <xdr:twoCellAnchor>
    <xdr:from>
      <xdr:col>11</xdr:col>
      <xdr:colOff>647701</xdr:colOff>
      <xdr:row>13</xdr:row>
      <xdr:rowOff>142875</xdr:rowOff>
    </xdr:from>
    <xdr:to>
      <xdr:col>14</xdr:col>
      <xdr:colOff>209550</xdr:colOff>
      <xdr:row>19</xdr:row>
      <xdr:rowOff>122700</xdr:rowOff>
    </xdr:to>
    <xdr:pic macro="[0]!actualise_tableau">
      <xdr:nvPicPr>
        <xdr:cNvPr id="9" name="Imag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9701" y="2628900"/>
          <a:ext cx="1847849" cy="1122825"/>
        </a:xfrm>
        <a:prstGeom prst="ellipse">
          <a:avLst/>
        </a:prstGeom>
        <a:ln w="190500" cap="rnd">
          <a:solidFill>
            <a:srgbClr val="FFFF00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>
    <xdr:from>
      <xdr:col>7</xdr:col>
      <xdr:colOff>171450</xdr:colOff>
      <xdr:row>12</xdr:row>
      <xdr:rowOff>161925</xdr:rowOff>
    </xdr:from>
    <xdr:to>
      <xdr:col>10</xdr:col>
      <xdr:colOff>352425</xdr:colOff>
      <xdr:row>19</xdr:row>
      <xdr:rowOff>180975</xdr:rowOff>
    </xdr:to>
    <xdr:sp macro="" textlink="">
      <xdr:nvSpPr>
        <xdr:cNvPr id="11" name="Bulle narrative : rond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505450" y="2457450"/>
          <a:ext cx="2466975" cy="1352550"/>
        </a:xfrm>
        <a:prstGeom prst="wedgeEllipseCallout">
          <a:avLst>
            <a:gd name="adj1" fmla="val 123233"/>
            <a:gd name="adj2" fmla="val 4949"/>
          </a:avLst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54000">
              <a:schemeClr val="accent2">
                <a:lumMod val="0"/>
                <a:lumOff val="100000"/>
              </a:schemeClr>
            </a:gs>
            <a:gs pos="46000">
              <a:srgbClr val="F6BE98"/>
            </a:gs>
            <a:gs pos="91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rgbClr val="FF0000"/>
              </a:solidFill>
            </a:rPr>
            <a:t>CLIQUEZ SUR CE BOUTTON</a:t>
          </a:r>
          <a:r>
            <a:rPr lang="fr-FR" sz="1200" b="1" baseline="0">
              <a:solidFill>
                <a:srgbClr val="FF0000"/>
              </a:solidFill>
            </a:rPr>
            <a:t> AVANT DE CLIQUER SUR CELUI DU TABLEAU DE BORD</a:t>
          </a:r>
          <a:endParaRPr lang="fr-GA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152400</xdr:colOff>
      <xdr:row>26</xdr:row>
      <xdr:rowOff>95250</xdr:rowOff>
    </xdr:from>
    <xdr:to>
      <xdr:col>14</xdr:col>
      <xdr:colOff>523875</xdr:colOff>
      <xdr:row>28</xdr:row>
      <xdr:rowOff>142875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296400" y="5057775"/>
          <a:ext cx="189547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ACCUEIL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12</xdr:row>
      <xdr:rowOff>19050</xdr:rowOff>
    </xdr:from>
    <xdr:to>
      <xdr:col>16</xdr:col>
      <xdr:colOff>447675</xdr:colOff>
      <xdr:row>24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48300" y="2305050"/>
          <a:ext cx="7191375" cy="23050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GA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704850</xdr:colOff>
          <xdr:row>14</xdr:row>
          <xdr:rowOff>123825</xdr:rowOff>
        </xdr:from>
        <xdr:to>
          <xdr:col>16</xdr:col>
          <xdr:colOff>28575</xdr:colOff>
          <xdr:row>16</xdr:row>
          <xdr:rowOff>19050</xdr:rowOff>
        </xdr:to>
        <xdr:sp macro="" textlink="">
          <xdr:nvSpPr>
            <xdr:cNvPr id="24577" name="Txt_user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4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704850</xdr:colOff>
          <xdr:row>17</xdr:row>
          <xdr:rowOff>28575</xdr:rowOff>
        </xdr:from>
        <xdr:to>
          <xdr:col>16</xdr:col>
          <xdr:colOff>28575</xdr:colOff>
          <xdr:row>18</xdr:row>
          <xdr:rowOff>104775</xdr:rowOff>
        </xdr:to>
        <xdr:sp macro="" textlink="">
          <xdr:nvSpPr>
            <xdr:cNvPr id="24578" name="Txt_pass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4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590550</xdr:colOff>
      <xdr:row>13</xdr:row>
      <xdr:rowOff>180974</xdr:rowOff>
    </xdr:from>
    <xdr:to>
      <xdr:col>11</xdr:col>
      <xdr:colOff>581025</xdr:colOff>
      <xdr:row>15</xdr:row>
      <xdr:rowOff>171449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4400550" y="2657474"/>
          <a:ext cx="2276475" cy="37147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fr-FR" sz="2400" b="1"/>
            <a:t>Utilisateur :</a:t>
          </a:r>
          <a:endParaRPr lang="fr-GA" sz="2400" b="1"/>
        </a:p>
      </xdr:txBody>
    </xdr:sp>
    <xdr:clientData/>
  </xdr:twoCellAnchor>
  <xdr:twoCellAnchor>
    <xdr:from>
      <xdr:col>8</xdr:col>
      <xdr:colOff>600075</xdr:colOff>
      <xdr:row>16</xdr:row>
      <xdr:rowOff>161925</xdr:rowOff>
    </xdr:from>
    <xdr:to>
      <xdr:col>11</xdr:col>
      <xdr:colOff>590550</xdr:colOff>
      <xdr:row>18</xdr:row>
      <xdr:rowOff>104775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4410075" y="3209925"/>
          <a:ext cx="2276475" cy="32385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2400" b="1"/>
            <a:t>Mot</a:t>
          </a:r>
          <a:r>
            <a:rPr lang="fr-FR" sz="2400" b="1" baseline="0"/>
            <a:t> de passe :</a:t>
          </a:r>
          <a:endParaRPr lang="fr-GA" sz="2400" b="1"/>
        </a:p>
      </xdr:txBody>
    </xdr:sp>
    <xdr:clientData/>
  </xdr:twoCellAnchor>
  <xdr:twoCellAnchor>
    <xdr:from>
      <xdr:col>7</xdr:col>
      <xdr:colOff>161925</xdr:colOff>
      <xdr:row>12</xdr:row>
      <xdr:rowOff>85725</xdr:rowOff>
    </xdr:from>
    <xdr:to>
      <xdr:col>8</xdr:col>
      <xdr:colOff>85725</xdr:colOff>
      <xdr:row>14</xdr:row>
      <xdr:rowOff>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3209925" y="2371725"/>
          <a:ext cx="685800" cy="2952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b="1" i="1"/>
            <a:t>Login</a:t>
          </a:r>
          <a:endParaRPr lang="fr-GA" sz="1400" b="1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19</xdr:row>
          <xdr:rowOff>104775</xdr:rowOff>
        </xdr:from>
        <xdr:to>
          <xdr:col>14</xdr:col>
          <xdr:colOff>504825</xdr:colOff>
          <xdr:row>22</xdr:row>
          <xdr:rowOff>133350</xdr:rowOff>
        </xdr:to>
        <xdr:sp macro="" textlink="">
          <xdr:nvSpPr>
            <xdr:cNvPr id="24580" name="CommandButton1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4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114</xdr:col>
      <xdr:colOff>0</xdr:colOff>
      <xdr:row>1</xdr:row>
      <xdr:rowOff>0</xdr:rowOff>
    </xdr:from>
    <xdr:to>
      <xdr:col>128</xdr:col>
      <xdr:colOff>219075</xdr:colOff>
      <xdr:row>3</xdr:row>
      <xdr:rowOff>66675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30311525" y="190500"/>
          <a:ext cx="10887075" cy="4476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200">
              <a:solidFill>
                <a:srgbClr val="FF0000"/>
              </a:solidFill>
              <a:latin typeface="Arial Black" panose="020B0A04020102020204" pitchFamily="34" charset="0"/>
            </a:rPr>
            <a:t>TABLEAU DE BORD DU</a:t>
          </a:r>
          <a:r>
            <a:rPr lang="fr-FR" sz="1200" baseline="0">
              <a:solidFill>
                <a:srgbClr val="FF0000"/>
              </a:solidFill>
              <a:latin typeface="Arial Black" panose="020B0A04020102020204" pitchFamily="34" charset="0"/>
            </a:rPr>
            <a:t> SERVICE CONTROLE DE GESTION : VISUALISATION INSTANTANEE DE LA MASSE SALARIALE ET DE SON EVOLUTION DANS LE TEMPS.</a:t>
          </a:r>
          <a:endParaRPr lang="fr-GA" sz="1200">
            <a:solidFill>
              <a:srgbClr val="FF000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183</xdr:col>
      <xdr:colOff>164306</xdr:colOff>
      <xdr:row>21</xdr:row>
      <xdr:rowOff>133350</xdr:rowOff>
    </xdr:from>
    <xdr:to>
      <xdr:col>186</xdr:col>
      <xdr:colOff>369094</xdr:colOff>
      <xdr:row>25</xdr:row>
      <xdr:rowOff>71437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820525" y="4133850"/>
          <a:ext cx="2074069" cy="700087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>
              <a:latin typeface="Arial Black" panose="020B0A04020102020204" pitchFamily="34" charset="0"/>
            </a:rPr>
            <a:t>ALLER AU MENU</a:t>
          </a:r>
          <a:endParaRPr lang="fr-GA" sz="1400">
            <a:latin typeface="Arial Black" panose="020B0A04020102020204" pitchFamily="34" charset="0"/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59458</xdr:colOff>
      <xdr:row>2</xdr:row>
      <xdr:rowOff>47625</xdr:rowOff>
    </xdr:from>
    <xdr:to>
      <xdr:col>1</xdr:col>
      <xdr:colOff>1000125</xdr:colOff>
      <xdr:row>6</xdr:row>
      <xdr:rowOff>66674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92808" y="47625"/>
          <a:ext cx="940667" cy="781049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Arial Black" panose="020B0A04020102020204" pitchFamily="34" charset="0"/>
            </a:rPr>
            <a:t>ALLER AU MENU</a:t>
          </a:r>
          <a:br>
            <a:rPr lang="fr-FR" sz="1000">
              <a:latin typeface="Arial Black" panose="020B0A04020102020204" pitchFamily="34" charset="0"/>
            </a:rPr>
          </a:br>
          <a:r>
            <a:rPr lang="fr-FR" sz="1000">
              <a:latin typeface="Arial Black" panose="020B0A04020102020204" pitchFamily="34" charset="0"/>
            </a:rPr>
            <a:t>USER</a:t>
          </a:r>
          <a:endParaRPr lang="fr-GA" sz="1000">
            <a:latin typeface="Arial Black" panose="020B0A04020102020204" pitchFamily="34" charset="0"/>
          </a:endParaRPr>
        </a:p>
      </xdr:txBody>
    </xdr:sp>
    <xdr:clientData fPrintsWithSheet="0"/>
  </xdr:twoCellAnchor>
  <xdr:twoCellAnchor editAs="oneCell">
    <xdr:from>
      <xdr:col>14</xdr:col>
      <xdr:colOff>28574</xdr:colOff>
      <xdr:row>8</xdr:row>
      <xdr:rowOff>133349</xdr:rowOff>
    </xdr:from>
    <xdr:to>
      <xdr:col>18</xdr:col>
      <xdr:colOff>628650</xdr:colOff>
      <xdr:row>15</xdr:row>
      <xdr:rowOff>152400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PERIODE (N-1)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PERIODE (N-1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05849" y="1171574"/>
              <a:ext cx="4953002" cy="13525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G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57150</xdr:colOff>
      <xdr:row>8</xdr:row>
      <xdr:rowOff>123825</xdr:rowOff>
    </xdr:from>
    <xdr:to>
      <xdr:col>24</xdr:col>
      <xdr:colOff>47625</xdr:colOff>
      <xdr:row>15</xdr:row>
      <xdr:rowOff>152400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DATE PERIODE (N)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PERIODE (N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5075" y="1162050"/>
              <a:ext cx="4438649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G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>
    <xdr:from>
      <xdr:col>1</xdr:col>
      <xdr:colOff>9524</xdr:colOff>
      <xdr:row>17</xdr:row>
      <xdr:rowOff>38100</xdr:rowOff>
    </xdr:from>
    <xdr:to>
      <xdr:col>6</xdr:col>
      <xdr:colOff>552450</xdr:colOff>
      <xdr:row>36</xdr:row>
      <xdr:rowOff>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47624</xdr:colOff>
      <xdr:row>24</xdr:row>
      <xdr:rowOff>190499</xdr:rowOff>
    </xdr:from>
    <xdr:to>
      <xdr:col>12</xdr:col>
      <xdr:colOff>495299</xdr:colOff>
      <xdr:row>38</xdr:row>
      <xdr:rowOff>190499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19050</xdr:colOff>
      <xdr:row>3</xdr:row>
      <xdr:rowOff>0</xdr:rowOff>
    </xdr:from>
    <xdr:to>
      <xdr:col>13</xdr:col>
      <xdr:colOff>19050</xdr:colOff>
      <xdr:row>19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19050</xdr:colOff>
      <xdr:row>17</xdr:row>
      <xdr:rowOff>133350</xdr:rowOff>
    </xdr:from>
    <xdr:to>
      <xdr:col>24</xdr:col>
      <xdr:colOff>419100</xdr:colOff>
      <xdr:row>39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38100</xdr:colOff>
      <xdr:row>0</xdr:row>
      <xdr:rowOff>0</xdr:rowOff>
    </xdr:from>
    <xdr:to>
      <xdr:col>24</xdr:col>
      <xdr:colOff>476249</xdr:colOff>
      <xdr:row>8</xdr:row>
      <xdr:rowOff>95251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8715375" y="0"/>
          <a:ext cx="9496424" cy="1428751"/>
        </a:xfrm>
        <a:prstGeom prst="rect">
          <a:avLst/>
        </a:prstGeom>
        <a:gradFill flip="none" rotWithShape="1">
          <a:gsLst>
            <a:gs pos="1000">
              <a:srgbClr val="00B050"/>
            </a:gs>
            <a:gs pos="47000">
              <a:schemeClr val="accent2">
                <a:lumMod val="20000"/>
                <a:lumOff val="80000"/>
                <a:alpha val="20000"/>
              </a:schemeClr>
            </a:gs>
            <a:gs pos="34000">
              <a:schemeClr val="bg1"/>
            </a:gs>
            <a:gs pos="61000">
              <a:schemeClr val="bg1"/>
            </a:gs>
            <a:gs pos="86000">
              <a:srgbClr val="002060"/>
            </a:gs>
            <a:gs pos="100000">
              <a:srgbClr val="002060"/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000" b="1">
              <a:solidFill>
                <a:srgbClr val="FF0000"/>
              </a:solidFill>
              <a:latin typeface="Arial Black" panose="020B0A04020102020204" pitchFamily="34" charset="0"/>
            </a:rPr>
            <a:t>TABLEAU DE BORD SCG</a:t>
          </a:r>
          <a:endParaRPr lang="fr-GA" sz="4000" b="1">
            <a:solidFill>
              <a:srgbClr val="FF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14</xdr:col>
      <xdr:colOff>76200</xdr:colOff>
      <xdr:row>3</xdr:row>
      <xdr:rowOff>38100</xdr:rowOff>
    </xdr:from>
    <xdr:to>
      <xdr:col>14</xdr:col>
      <xdr:colOff>1092739</xdr:colOff>
      <xdr:row>7</xdr:row>
      <xdr:rowOff>59275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1100" y="228600"/>
          <a:ext cx="1016539" cy="973675"/>
        </a:xfrm>
        <a:prstGeom prst="ellipse">
          <a:avLst/>
        </a:prstGeom>
        <a:ln>
          <a:noFill/>
        </a:ln>
      </xdr:spPr>
    </xdr:pic>
    <xdr:clientData/>
  </xdr:twoCellAnchor>
  <xdr:twoCellAnchor editAs="oneCell">
    <xdr:from>
      <xdr:col>23</xdr:col>
      <xdr:colOff>552450</xdr:colOff>
      <xdr:row>3</xdr:row>
      <xdr:rowOff>28575</xdr:rowOff>
    </xdr:from>
    <xdr:to>
      <xdr:col>24</xdr:col>
      <xdr:colOff>64039</xdr:colOff>
      <xdr:row>7</xdr:row>
      <xdr:rowOff>49750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40175" y="219075"/>
          <a:ext cx="1016539" cy="973675"/>
        </a:xfrm>
        <a:prstGeom prst="ellipse">
          <a:avLst/>
        </a:prstGeom>
        <a:ln>
          <a:noFill/>
        </a:ln>
      </xdr:spPr>
    </xdr:pic>
    <xdr:clientData/>
  </xdr:twoCellAnchor>
  <xdr:twoCellAnchor>
    <xdr:from>
      <xdr:col>2</xdr:col>
      <xdr:colOff>152400</xdr:colOff>
      <xdr:row>2</xdr:row>
      <xdr:rowOff>38100</xdr:rowOff>
    </xdr:from>
    <xdr:to>
      <xdr:col>6</xdr:col>
      <xdr:colOff>581025</xdr:colOff>
      <xdr:row>4</xdr:row>
      <xdr:rowOff>152400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314450" y="38100"/>
          <a:ext cx="3343275" cy="495300"/>
        </a:xfrm>
        <a:prstGeom prst="rect">
          <a:avLst/>
        </a:prstGeom>
        <a:solidFill>
          <a:schemeClr val="dk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 b="1" u="dbl">
              <a:solidFill>
                <a:srgbClr val="FFFF00"/>
              </a:solidFill>
            </a:rPr>
            <a:t>LA BOUSSOLE DU DECIDEUR</a:t>
          </a:r>
          <a:endParaRPr lang="fr-GA" sz="2000" b="1" u="dbl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47625</xdr:colOff>
      <xdr:row>12</xdr:row>
      <xdr:rowOff>114300</xdr:rowOff>
    </xdr:from>
    <xdr:to>
      <xdr:col>1</xdr:col>
      <xdr:colOff>914400</xdr:colOff>
      <xdr:row>15</xdr:row>
      <xdr:rowOff>147638</xdr:rowOff>
    </xdr:to>
    <xdr:sp macro="" textlink="">
      <xdr:nvSpPr>
        <xdr:cNvPr id="15" name="Rectangle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80975" y="2209800"/>
          <a:ext cx="866775" cy="604838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>
              <a:latin typeface="Arial Black" panose="020B0A04020102020204" pitchFamily="34" charset="0"/>
            </a:rPr>
            <a:t>ALLER AU MENU</a:t>
          </a:r>
          <a:br>
            <a:rPr lang="fr-FR" sz="900">
              <a:latin typeface="Arial Black" panose="020B0A04020102020204" pitchFamily="34" charset="0"/>
            </a:rPr>
          </a:br>
          <a:r>
            <a:rPr lang="fr-FR" sz="900">
              <a:latin typeface="Arial Black" panose="020B0A04020102020204" pitchFamily="34" charset="0"/>
            </a:rPr>
            <a:t>Admin</a:t>
          </a:r>
          <a:endParaRPr lang="fr-GA" sz="900">
            <a:latin typeface="Arial Black" panose="020B0A04020102020204" pitchFamily="34" charset="0"/>
          </a:endParaRP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628650</xdr:colOff>
      <xdr:row>2</xdr:row>
      <xdr:rowOff>228600</xdr:rowOff>
    </xdr:from>
    <xdr:to>
      <xdr:col>5</xdr:col>
      <xdr:colOff>2095500</xdr:colOff>
      <xdr:row>3</xdr:row>
      <xdr:rowOff>171450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648450" y="714375"/>
          <a:ext cx="1466850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Arial Black" panose="020B0A04020102020204" pitchFamily="34" charset="0"/>
            </a:rPr>
            <a:t>ALLER AU MENU</a:t>
          </a:r>
          <a:endParaRPr lang="fr-GA" sz="1000">
            <a:latin typeface="Arial Black" panose="020B0A04020102020204" pitchFamily="34" charset="0"/>
          </a:endParaRPr>
        </a:p>
      </xdr:txBody>
    </xdr:sp>
    <xdr:clientData fPrintsWithSheet="0"/>
  </xdr:twoCellAnchor>
  <xdr:twoCellAnchor>
    <xdr:from>
      <xdr:col>5</xdr:col>
      <xdr:colOff>285750</xdr:colOff>
      <xdr:row>0</xdr:row>
      <xdr:rowOff>104775</xdr:rowOff>
    </xdr:from>
    <xdr:to>
      <xdr:col>5</xdr:col>
      <xdr:colOff>2371725</xdr:colOff>
      <xdr:row>2</xdr:row>
      <xdr:rowOff>104775</xdr:rowOff>
    </xdr:to>
    <xdr:sp macro="[0]!Feuil9.SAUVEGARDE7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305550" y="104775"/>
          <a:ext cx="2085975" cy="4857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SAUVEGARDE</a:t>
          </a:r>
          <a:r>
            <a:rPr lang="fr-F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DU FORMULAIRE ET REINITIALISATION</a:t>
          </a:r>
          <a:endParaRPr lang="fr-GA" b="1">
            <a:effectLst/>
          </a:endParaRPr>
        </a:p>
        <a:p>
          <a:pPr algn="ctr"/>
          <a:endParaRPr lang="fr-GA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101</xdr:col>
      <xdr:colOff>742950</xdr:colOff>
      <xdr:row>29</xdr:row>
      <xdr:rowOff>95250</xdr:rowOff>
    </xdr:from>
    <xdr:to>
      <xdr:col>104</xdr:col>
      <xdr:colOff>531019</xdr:colOff>
      <xdr:row>33</xdr:row>
      <xdr:rowOff>33337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8001475" y="6210300"/>
          <a:ext cx="2074069" cy="700087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>
              <a:latin typeface="Arial Black" panose="020B0A04020102020204" pitchFamily="34" charset="0"/>
            </a:rPr>
            <a:t>ALLER AU MENU</a:t>
          </a:r>
          <a:endParaRPr lang="fr-GA" sz="1400">
            <a:latin typeface="Arial Black" panose="020B0A04020102020204" pitchFamily="34" charset="0"/>
          </a:endParaRP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638175</xdr:colOff>
      <xdr:row>1</xdr:row>
      <xdr:rowOff>0</xdr:rowOff>
    </xdr:from>
    <xdr:to>
      <xdr:col>8</xdr:col>
      <xdr:colOff>654685</xdr:colOff>
      <xdr:row>6</xdr:row>
      <xdr:rowOff>180975</xdr:rowOff>
    </xdr:to>
    <xdr:pic>
      <xdr:nvPicPr>
        <xdr:cNvPr id="2" name="Image 1" descr="Description : Description : Description : Description : Description : R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72400" y="161925"/>
          <a:ext cx="1664335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114300</xdr:rowOff>
    </xdr:from>
    <xdr:to>
      <xdr:col>3</xdr:col>
      <xdr:colOff>857250</xdr:colOff>
      <xdr:row>13</xdr:row>
      <xdr:rowOff>142875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0" y="114300"/>
          <a:ext cx="3543300" cy="2390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Garamond" panose="02020404030301010803" pitchFamily="18" charset="0"/>
            </a:rPr>
            <a:t>MINISTERE DU BUDGET ET DES COMPTES PUBLICS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-----------------------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SECRETARIAT GENERAL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GENERALE DU BUDGET ET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DES FINANCES PUBLIQUES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DE LA SOLDE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SERVICE</a:t>
          </a:r>
          <a: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 CONTROLE DE GESTION</a:t>
          </a:r>
          <a:b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N°________________/MBCP/SG/DGBFIP/DS/SCG</a:t>
          </a:r>
          <a:endParaRPr lang="fr-FR" sz="1000" b="1">
            <a:latin typeface="Garamond" panose="02020404030301010803" pitchFamily="18" charset="0"/>
          </a:endParaRPr>
        </a:p>
      </xdr:txBody>
    </xdr:sp>
    <xdr:clientData/>
  </xdr:twoCellAnchor>
  <xdr:twoCellAnchor>
    <xdr:from>
      <xdr:col>4</xdr:col>
      <xdr:colOff>57150</xdr:colOff>
      <xdr:row>7</xdr:row>
      <xdr:rowOff>47625</xdr:rowOff>
    </xdr:from>
    <xdr:to>
      <xdr:col>4</xdr:col>
      <xdr:colOff>1524000</xdr:colOff>
      <xdr:row>10</xdr:row>
      <xdr:rowOff>57150</xdr:rowOff>
    </xdr:to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495800" y="1247775"/>
          <a:ext cx="1466850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Arial Black" panose="020B0A04020102020204" pitchFamily="34" charset="0"/>
            </a:rPr>
            <a:t>ALLER AU MENU</a:t>
          </a:r>
          <a:endParaRPr lang="fr-GA" sz="1000">
            <a:latin typeface="Arial Black" panose="020B0A04020102020204" pitchFamily="34" charset="0"/>
          </a:endParaRPr>
        </a:p>
      </xdr:txBody>
    </xdr:sp>
    <xdr:clientData fPrintsWithSheet="0"/>
  </xdr:twoCellAnchor>
  <xdr:twoCellAnchor>
    <xdr:from>
      <xdr:col>3</xdr:col>
      <xdr:colOff>1504951</xdr:colOff>
      <xdr:row>0</xdr:row>
      <xdr:rowOff>19050</xdr:rowOff>
    </xdr:from>
    <xdr:to>
      <xdr:col>5</xdr:col>
      <xdr:colOff>381001</xdr:colOff>
      <xdr:row>4</xdr:row>
      <xdr:rowOff>28574</xdr:rowOff>
    </xdr:to>
    <xdr:sp macro="[0]!Feuil1.SAUVEGARDE1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4191001" y="19050"/>
          <a:ext cx="2286000" cy="514349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SAUVEGARDE</a:t>
          </a:r>
          <a:r>
            <a:rPr lang="fr-FR" sz="1100" baseline="0"/>
            <a:t> DU FORMULAIRE ET REINITIALISATION</a:t>
          </a:r>
          <a:endParaRPr lang="fr-GA" sz="1100"/>
        </a:p>
      </xdr:txBody>
    </xdr:sp>
    <xdr:clientData fPrintsWithSheet="0"/>
  </xdr:twoCellAnchor>
  <xdr:twoCellAnchor>
    <xdr:from>
      <xdr:col>3</xdr:col>
      <xdr:colOff>1543050</xdr:colOff>
      <xdr:row>4</xdr:row>
      <xdr:rowOff>190500</xdr:rowOff>
    </xdr:from>
    <xdr:to>
      <xdr:col>5</xdr:col>
      <xdr:colOff>314325</xdr:colOff>
      <xdr:row>6</xdr:row>
      <xdr:rowOff>85725</xdr:rowOff>
    </xdr:to>
    <xdr:sp macro="[0]!Feuil1.impimer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229100" y="695325"/>
          <a:ext cx="2181225" cy="381000"/>
        </a:xfrm>
        <a:prstGeom prst="rect">
          <a:avLst/>
        </a:prstGeom>
        <a:solidFill>
          <a:srgbClr val="FFFF0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  <a:latin typeface="Arial Black" panose="020B0A04020102020204" pitchFamily="34" charset="0"/>
            </a:rPr>
            <a:t>IMPRIMER</a:t>
          </a:r>
          <a:r>
            <a:rPr lang="fr-FR" sz="10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LE FORMULAIRE</a:t>
          </a:r>
          <a:endParaRPr lang="fr-FR" sz="10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133350</xdr:rowOff>
    </xdr:from>
    <xdr:to>
      <xdr:col>3</xdr:col>
      <xdr:colOff>1019175</xdr:colOff>
      <xdr:row>13</xdr:row>
      <xdr:rowOff>171450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0" y="133350"/>
          <a:ext cx="3543300" cy="2495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Garamond" panose="02020404030301010803" pitchFamily="18" charset="0"/>
            </a:rPr>
            <a:t>MINISTERE DU BUDGET ET DES COMPTES PUBLICS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-----------------------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SECRETARIAT GENERAL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GENERALE DU BUDGET ET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DES FINANCES PUBLIQUES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DE LA SOLDE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SERVICE</a:t>
          </a:r>
          <a: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 CONTROLE DE GESTION</a:t>
          </a:r>
          <a:b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N°________________/MBCP/SG/DGBFIP/DS/SCG</a:t>
          </a:r>
          <a:endParaRPr lang="fr-FR" sz="900" b="1">
            <a:latin typeface="Garamond" panose="02020404030301010803" pitchFamily="18" charset="0"/>
          </a:endParaRPr>
        </a:p>
      </xdr:txBody>
    </xdr:sp>
    <xdr:clientData/>
  </xdr:twoCellAnchor>
  <xdr:twoCellAnchor editAs="oneCell">
    <xdr:from>
      <xdr:col>6</xdr:col>
      <xdr:colOff>590550</xdr:colOff>
      <xdr:row>0</xdr:row>
      <xdr:rowOff>152400</xdr:rowOff>
    </xdr:from>
    <xdr:to>
      <xdr:col>9</xdr:col>
      <xdr:colOff>6985</xdr:colOff>
      <xdr:row>6</xdr:row>
      <xdr:rowOff>171450</xdr:rowOff>
    </xdr:to>
    <xdr:pic>
      <xdr:nvPicPr>
        <xdr:cNvPr id="5" name="Image 4" descr="Description : Description : Description : Description : Description : R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152400"/>
          <a:ext cx="1664335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85725</xdr:colOff>
      <xdr:row>8</xdr:row>
      <xdr:rowOff>66675</xdr:rowOff>
    </xdr:from>
    <xdr:to>
      <xdr:col>4</xdr:col>
      <xdr:colOff>1552575</xdr:colOff>
      <xdr:row>10</xdr:row>
      <xdr:rowOff>161925</xdr:rowOff>
    </xdr:to>
    <xdr:sp macro="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4562475" y="1343025"/>
          <a:ext cx="1466850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Arial Black" panose="020B0A04020102020204" pitchFamily="34" charset="0"/>
            </a:rPr>
            <a:t>ALLER AU MENU</a:t>
          </a:r>
          <a:endParaRPr lang="fr-GA" sz="1000">
            <a:latin typeface="Arial Black" panose="020B0A04020102020204" pitchFamily="34" charset="0"/>
          </a:endParaRPr>
        </a:p>
      </xdr:txBody>
    </xdr:sp>
    <xdr:clientData fPrintsWithSheet="0"/>
  </xdr:twoCellAnchor>
  <xdr:twoCellAnchor>
    <xdr:from>
      <xdr:col>3</xdr:col>
      <xdr:colOff>1562100</xdr:colOff>
      <xdr:row>0</xdr:row>
      <xdr:rowOff>57150</xdr:rowOff>
    </xdr:from>
    <xdr:to>
      <xdr:col>5</xdr:col>
      <xdr:colOff>295275</xdr:colOff>
      <xdr:row>4</xdr:row>
      <xdr:rowOff>190500</xdr:rowOff>
    </xdr:to>
    <xdr:sp macro="[0]!Feuil3.SAUVEGARDE2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086225" y="57150"/>
          <a:ext cx="2400300" cy="6381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SAUVEGARDER ET REINITIALISER LE FORMULAIRE</a:t>
          </a:r>
        </a:p>
      </xdr:txBody>
    </xdr:sp>
    <xdr:clientData fPrintsWithSheet="0"/>
  </xdr:twoCellAnchor>
  <xdr:twoCellAnchor>
    <xdr:from>
      <xdr:col>3</xdr:col>
      <xdr:colOff>1695450</xdr:colOff>
      <xdr:row>4</xdr:row>
      <xdr:rowOff>352425</xdr:rowOff>
    </xdr:from>
    <xdr:to>
      <xdr:col>5</xdr:col>
      <xdr:colOff>209550</xdr:colOff>
      <xdr:row>7</xdr:row>
      <xdr:rowOff>47625</xdr:rowOff>
    </xdr:to>
    <xdr:sp macro="[0]!Feuil3.imprimer2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4219575" y="857250"/>
          <a:ext cx="2181225" cy="381000"/>
        </a:xfrm>
        <a:prstGeom prst="rect">
          <a:avLst/>
        </a:prstGeom>
        <a:solidFill>
          <a:srgbClr val="FFFF0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  <a:latin typeface="Arial Black" panose="020B0A04020102020204" pitchFamily="34" charset="0"/>
            </a:rPr>
            <a:t>IMPRIMER</a:t>
          </a:r>
          <a:r>
            <a:rPr lang="fr-FR" sz="10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LE FORMULAIRE</a:t>
          </a:r>
          <a:endParaRPr lang="fr-FR" sz="10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123825</xdr:rowOff>
    </xdr:from>
    <xdr:to>
      <xdr:col>3</xdr:col>
      <xdr:colOff>914400</xdr:colOff>
      <xdr:row>13</xdr:row>
      <xdr:rowOff>152400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0" y="123825"/>
          <a:ext cx="3505200" cy="2486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Garamond" panose="02020404030301010803" pitchFamily="18" charset="0"/>
            </a:rPr>
            <a:t>MINISTERE DU BUDGET ET DES COMPTES PUBLICS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-----------------------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SECRETARIAT GENERAL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GENERALE DU BUDGET ET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DES FINANCES PUBLIQUES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DE LA SOLDE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SERVICE</a:t>
          </a:r>
          <a: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 CONTROLE DE GESTION</a:t>
          </a:r>
          <a:b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N°________________/MBCP/SG/DGBFIP/DS/SCG</a:t>
          </a:r>
          <a:endParaRPr lang="fr-FR" sz="900" b="1">
            <a:latin typeface="Garamond" panose="02020404030301010803" pitchFamily="18" charset="0"/>
          </a:endParaRPr>
        </a:p>
      </xdr:txBody>
    </xdr:sp>
    <xdr:clientData/>
  </xdr:twoCellAnchor>
  <xdr:twoCellAnchor editAs="oneCell">
    <xdr:from>
      <xdr:col>6</xdr:col>
      <xdr:colOff>581025</xdr:colOff>
      <xdr:row>1</xdr:row>
      <xdr:rowOff>9525</xdr:rowOff>
    </xdr:from>
    <xdr:to>
      <xdr:col>8</xdr:col>
      <xdr:colOff>597535</xdr:colOff>
      <xdr:row>7</xdr:row>
      <xdr:rowOff>19050</xdr:rowOff>
    </xdr:to>
    <xdr:pic>
      <xdr:nvPicPr>
        <xdr:cNvPr id="4" name="Image 3" descr="Description : Description : Description : Description : Description : R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77175" y="171450"/>
          <a:ext cx="1664335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257175</xdr:colOff>
      <xdr:row>8</xdr:row>
      <xdr:rowOff>47625</xdr:rowOff>
    </xdr:from>
    <xdr:to>
      <xdr:col>4</xdr:col>
      <xdr:colOff>1724025</xdr:colOff>
      <xdr:row>10</xdr:row>
      <xdr:rowOff>142875</xdr:rowOff>
    </xdr:to>
    <xdr:sp macro="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4676775" y="1295400"/>
          <a:ext cx="1466850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Arial Black" panose="020B0A04020102020204" pitchFamily="34" charset="0"/>
            </a:rPr>
            <a:t>ALLER AU MENU</a:t>
          </a:r>
          <a:endParaRPr lang="fr-GA" sz="1000">
            <a:latin typeface="Arial Black" panose="020B0A04020102020204" pitchFamily="34" charset="0"/>
          </a:endParaRPr>
        </a:p>
      </xdr:txBody>
    </xdr:sp>
    <xdr:clientData fPrintsWithSheet="0"/>
  </xdr:twoCellAnchor>
  <xdr:twoCellAnchor>
    <xdr:from>
      <xdr:col>3</xdr:col>
      <xdr:colOff>1600200</xdr:colOff>
      <xdr:row>0</xdr:row>
      <xdr:rowOff>114300</xdr:rowOff>
    </xdr:from>
    <xdr:to>
      <xdr:col>5</xdr:col>
      <xdr:colOff>400050</xdr:colOff>
      <xdr:row>4</xdr:row>
      <xdr:rowOff>247650</xdr:rowOff>
    </xdr:to>
    <xdr:sp macro="[0]!Feuil4.SAUVEGARDE3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4191000" y="114300"/>
          <a:ext cx="2400300" cy="6381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SAUVEGARDER ET REINITIALISER LE FORMULAIRE</a:t>
          </a:r>
        </a:p>
      </xdr:txBody>
    </xdr:sp>
    <xdr:clientData fPrintsWithSheet="0"/>
  </xdr:twoCellAnchor>
  <xdr:twoCellAnchor>
    <xdr:from>
      <xdr:col>3</xdr:col>
      <xdr:colOff>1743075</xdr:colOff>
      <xdr:row>4</xdr:row>
      <xdr:rowOff>323850</xdr:rowOff>
    </xdr:from>
    <xdr:to>
      <xdr:col>5</xdr:col>
      <xdr:colOff>323850</xdr:colOff>
      <xdr:row>7</xdr:row>
      <xdr:rowOff>47625</xdr:rowOff>
    </xdr:to>
    <xdr:sp macro="[0]!Feuil4.impimer3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333875" y="828675"/>
          <a:ext cx="2181225" cy="381000"/>
        </a:xfrm>
        <a:prstGeom prst="rect">
          <a:avLst/>
        </a:prstGeom>
        <a:solidFill>
          <a:srgbClr val="FFFF0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  <a:latin typeface="Arial Black" panose="020B0A04020102020204" pitchFamily="34" charset="0"/>
            </a:rPr>
            <a:t>IMPRIMER</a:t>
          </a:r>
          <a:r>
            <a:rPr lang="fr-FR" sz="10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LE FORMULAIRE</a:t>
          </a:r>
          <a:endParaRPr lang="fr-FR" sz="10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114300</xdr:rowOff>
    </xdr:from>
    <xdr:to>
      <xdr:col>3</xdr:col>
      <xdr:colOff>876299</xdr:colOff>
      <xdr:row>13</xdr:row>
      <xdr:rowOff>142875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0" y="114300"/>
          <a:ext cx="3552824" cy="2486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Garamond" panose="02020404030301010803" pitchFamily="18" charset="0"/>
            </a:rPr>
            <a:t>MINISTERE DU BUDGET ET DES COMPTES PUBLICS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-----------------------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SECRETARIAT GENERAL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GENERALE DU BUDGET ET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DES FINANCES PUBLIQUES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DE LA SOLDE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SERVICE</a:t>
          </a:r>
          <a: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 CONTROLE DE GESTION</a:t>
          </a:r>
          <a:b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N°________________/MBCP/SG/DGBFIP/DS/SCG</a:t>
          </a:r>
          <a:endParaRPr lang="fr-FR" sz="900" b="1">
            <a:latin typeface="Garamond" panose="02020404030301010803" pitchFamily="18" charset="0"/>
          </a:endParaRPr>
        </a:p>
      </xdr:txBody>
    </xdr:sp>
    <xdr:clientData/>
  </xdr:twoCellAnchor>
  <xdr:twoCellAnchor editAs="oneCell">
    <xdr:from>
      <xdr:col>6</xdr:col>
      <xdr:colOff>581025</xdr:colOff>
      <xdr:row>1</xdr:row>
      <xdr:rowOff>9525</xdr:rowOff>
    </xdr:from>
    <xdr:to>
      <xdr:col>8</xdr:col>
      <xdr:colOff>597535</xdr:colOff>
      <xdr:row>6</xdr:row>
      <xdr:rowOff>190500</xdr:rowOff>
    </xdr:to>
    <xdr:pic>
      <xdr:nvPicPr>
        <xdr:cNvPr id="4" name="Image 3" descr="Description : Description : Description : Description : Description : R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48600" y="171450"/>
          <a:ext cx="1664335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238125</xdr:colOff>
      <xdr:row>8</xdr:row>
      <xdr:rowOff>57150</xdr:rowOff>
    </xdr:from>
    <xdr:to>
      <xdr:col>4</xdr:col>
      <xdr:colOff>1704975</xdr:colOff>
      <xdr:row>10</xdr:row>
      <xdr:rowOff>152400</xdr:rowOff>
    </xdr:to>
    <xdr:sp macro="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4781550" y="1333500"/>
          <a:ext cx="1466850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Arial Black" panose="020B0A04020102020204" pitchFamily="34" charset="0"/>
            </a:rPr>
            <a:t>ALLER AU MENU</a:t>
          </a:r>
          <a:endParaRPr lang="fr-GA" sz="1000">
            <a:latin typeface="Arial Black" panose="020B0A04020102020204" pitchFamily="34" charset="0"/>
          </a:endParaRPr>
        </a:p>
      </xdr:txBody>
    </xdr:sp>
    <xdr:clientData fPrintsWithSheet="0"/>
  </xdr:twoCellAnchor>
  <xdr:twoCellAnchor>
    <xdr:from>
      <xdr:col>3</xdr:col>
      <xdr:colOff>1647825</xdr:colOff>
      <xdr:row>0</xdr:row>
      <xdr:rowOff>104775</xdr:rowOff>
    </xdr:from>
    <xdr:to>
      <xdr:col>5</xdr:col>
      <xdr:colOff>257175</xdr:colOff>
      <xdr:row>4</xdr:row>
      <xdr:rowOff>238125</xdr:rowOff>
    </xdr:to>
    <xdr:sp macro="[0]!Feuil5.SAUVEGARDE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4324350" y="104775"/>
          <a:ext cx="2400300" cy="6381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SAUVEGARDER ET REINITIALISER LE FORMULAIRE</a:t>
          </a:r>
        </a:p>
      </xdr:txBody>
    </xdr:sp>
    <xdr:clientData fPrintsWithSheet="0"/>
  </xdr:twoCellAnchor>
  <xdr:twoCellAnchor>
    <xdr:from>
      <xdr:col>3</xdr:col>
      <xdr:colOff>1790700</xdr:colOff>
      <xdr:row>4</xdr:row>
      <xdr:rowOff>342900</xdr:rowOff>
    </xdr:from>
    <xdr:to>
      <xdr:col>5</xdr:col>
      <xdr:colOff>180975</xdr:colOff>
      <xdr:row>7</xdr:row>
      <xdr:rowOff>38100</xdr:rowOff>
    </xdr:to>
    <xdr:sp macro="[0]!Feuil5.impimer4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4467225" y="847725"/>
          <a:ext cx="2181225" cy="381000"/>
        </a:xfrm>
        <a:prstGeom prst="rect">
          <a:avLst/>
        </a:prstGeom>
        <a:solidFill>
          <a:srgbClr val="FFFF0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  <a:latin typeface="Arial Black" panose="020B0A04020102020204" pitchFamily="34" charset="0"/>
            </a:rPr>
            <a:t>IMPRIMER</a:t>
          </a:r>
          <a:r>
            <a:rPr lang="fr-FR" sz="10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LE FORMULAIRE</a:t>
          </a:r>
          <a:endParaRPr lang="fr-FR" sz="10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114300</xdr:rowOff>
    </xdr:from>
    <xdr:to>
      <xdr:col>2</xdr:col>
      <xdr:colOff>1333499</xdr:colOff>
      <xdr:row>13</xdr:row>
      <xdr:rowOff>142875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0" y="114300"/>
          <a:ext cx="3495674" cy="2486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Garamond" panose="02020404030301010803" pitchFamily="18" charset="0"/>
            </a:rPr>
            <a:t>MINISTERE DU BUDGET ET DES COMPTES PUBLICS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-----------------------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SECRETARIAT GENERAL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GENERALE DU BUDGET ET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DES FINANCES PUBLIQUES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DE LA SOLDE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SERVICE</a:t>
          </a:r>
          <a: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 CONTROLE DE GESTION</a:t>
          </a:r>
          <a:b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N°________________/MBCP/SG/DGBFIP/DS/SCG</a:t>
          </a:r>
          <a:endParaRPr lang="fr-FR" sz="900" b="1">
            <a:latin typeface="Garamond" panose="02020404030301010803" pitchFamily="18" charset="0"/>
          </a:endParaRPr>
        </a:p>
      </xdr:txBody>
    </xdr:sp>
    <xdr:clientData/>
  </xdr:twoCellAnchor>
  <xdr:twoCellAnchor editAs="oneCell">
    <xdr:from>
      <xdr:col>5</xdr:col>
      <xdr:colOff>581025</xdr:colOff>
      <xdr:row>1</xdr:row>
      <xdr:rowOff>9525</xdr:rowOff>
    </xdr:from>
    <xdr:to>
      <xdr:col>7</xdr:col>
      <xdr:colOff>597535</xdr:colOff>
      <xdr:row>6</xdr:row>
      <xdr:rowOff>190500</xdr:rowOff>
    </xdr:to>
    <xdr:pic>
      <xdr:nvPicPr>
        <xdr:cNvPr id="3" name="Image 2" descr="Description : Description : Description : Description : Description : R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48600" y="171450"/>
          <a:ext cx="1664335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323850</xdr:colOff>
      <xdr:row>7</xdr:row>
      <xdr:rowOff>76200</xdr:rowOff>
    </xdr:from>
    <xdr:to>
      <xdr:col>3</xdr:col>
      <xdr:colOff>1790700</xdr:colOff>
      <xdr:row>10</xdr:row>
      <xdr:rowOff>85725</xdr:rowOff>
    </xdr:to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4467225" y="1266825"/>
          <a:ext cx="1466850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Arial Black" panose="020B0A04020102020204" pitchFamily="34" charset="0"/>
            </a:rPr>
            <a:t>ALLER AU MENU</a:t>
          </a:r>
          <a:endParaRPr lang="fr-GA" sz="1000">
            <a:latin typeface="Arial Black" panose="020B0A04020102020204" pitchFamily="34" charset="0"/>
          </a:endParaRPr>
        </a:p>
      </xdr:txBody>
    </xdr:sp>
    <xdr:clientData fPrintsWithSheet="0"/>
  </xdr:twoCellAnchor>
  <xdr:twoCellAnchor>
    <xdr:from>
      <xdr:col>2</xdr:col>
      <xdr:colOff>1914525</xdr:colOff>
      <xdr:row>0</xdr:row>
      <xdr:rowOff>66675</xdr:rowOff>
    </xdr:from>
    <xdr:to>
      <xdr:col>4</xdr:col>
      <xdr:colOff>371475</xdr:colOff>
      <xdr:row>4</xdr:row>
      <xdr:rowOff>200025</xdr:rowOff>
    </xdr:to>
    <xdr:sp macro="[0]!Feuil6.SAUVEGARDE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4076700" y="66675"/>
          <a:ext cx="2400300" cy="6381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SAUVEGARDER ET REINITIALISER LE FORMULAIRE</a:t>
          </a:r>
        </a:p>
      </xdr:txBody>
    </xdr:sp>
    <xdr:clientData/>
  </xdr:twoCellAnchor>
  <xdr:twoCellAnchor>
    <xdr:from>
      <xdr:col>3</xdr:col>
      <xdr:colOff>47625</xdr:colOff>
      <xdr:row>4</xdr:row>
      <xdr:rowOff>295275</xdr:rowOff>
    </xdr:from>
    <xdr:to>
      <xdr:col>4</xdr:col>
      <xdr:colOff>266700</xdr:colOff>
      <xdr:row>6</xdr:row>
      <xdr:rowOff>190500</xdr:rowOff>
    </xdr:to>
    <xdr:sp macro="[0]!Feuil6.impimer5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4191000" y="800100"/>
          <a:ext cx="2181225" cy="381000"/>
        </a:xfrm>
        <a:prstGeom prst="rect">
          <a:avLst/>
        </a:prstGeom>
        <a:solidFill>
          <a:srgbClr val="FFFF0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  <a:latin typeface="Arial Black" panose="020B0A04020102020204" pitchFamily="34" charset="0"/>
            </a:rPr>
            <a:t>IMPRIMER</a:t>
          </a:r>
          <a:r>
            <a:rPr lang="fr-FR" sz="10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LE FORMULAIRE</a:t>
          </a:r>
          <a:endParaRPr lang="fr-FR" sz="10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114300</xdr:rowOff>
    </xdr:from>
    <xdr:to>
      <xdr:col>2</xdr:col>
      <xdr:colOff>1095375</xdr:colOff>
      <xdr:row>13</xdr:row>
      <xdr:rowOff>190499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0" y="114300"/>
          <a:ext cx="3543300" cy="2333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Garamond" panose="02020404030301010803" pitchFamily="18" charset="0"/>
            </a:rPr>
            <a:t>MINISTERE DU BUDGET ET DES COMPTES PUBLICS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-----------------------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latin typeface="Garamond" panose="02020404030301010803" pitchFamily="18" charset="0"/>
            </a:rPr>
            <a:t>SECRETARIAT GENERAL</a:t>
          </a:r>
          <a:br>
            <a:rPr lang="fr-FR" sz="1000" b="1">
              <a:latin typeface="Garamond" panose="02020404030301010803" pitchFamily="18" charset="0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GENERALE DU BUDGET ET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DES FINANCES PUBLIQUES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DIRECTION DE LA SOLDE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SERVICE</a:t>
          </a:r>
          <a: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 CONTROLE DE GESTION</a:t>
          </a:r>
          <a:br>
            <a:rPr lang="fr-FR" sz="1000" b="1" baseline="0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-----------------------</a:t>
          </a: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b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</a:br>
          <a:r>
            <a:rPr lang="fr-FR" sz="1000" b="1">
              <a:solidFill>
                <a:schemeClr val="dk1"/>
              </a:solidFill>
              <a:effectLst/>
              <a:latin typeface="Garamond" panose="02020404030301010803" pitchFamily="18" charset="0"/>
              <a:ea typeface="+mn-ea"/>
              <a:cs typeface="+mn-cs"/>
            </a:rPr>
            <a:t>N°________________/MBCP/SG/DGBFIP/DS/SCG</a:t>
          </a:r>
          <a:endParaRPr lang="fr-FR" sz="900" b="1">
            <a:latin typeface="Garamond" panose="02020404030301010803" pitchFamily="18" charset="0"/>
          </a:endParaRPr>
        </a:p>
      </xdr:txBody>
    </xdr:sp>
    <xdr:clientData/>
  </xdr:twoCellAnchor>
  <xdr:twoCellAnchor editAs="oneCell">
    <xdr:from>
      <xdr:col>5</xdr:col>
      <xdr:colOff>561975</xdr:colOff>
      <xdr:row>1</xdr:row>
      <xdr:rowOff>9525</xdr:rowOff>
    </xdr:from>
    <xdr:to>
      <xdr:col>7</xdr:col>
      <xdr:colOff>607060</xdr:colOff>
      <xdr:row>6</xdr:row>
      <xdr:rowOff>190500</xdr:rowOff>
    </xdr:to>
    <xdr:pic>
      <xdr:nvPicPr>
        <xdr:cNvPr id="4" name="Image 3" descr="Description : Description : Description : Description : Description : R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72325" y="171450"/>
          <a:ext cx="1664335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152400</xdr:colOff>
      <xdr:row>8</xdr:row>
      <xdr:rowOff>9525</xdr:rowOff>
    </xdr:from>
    <xdr:to>
      <xdr:col>3</xdr:col>
      <xdr:colOff>1619250</xdr:colOff>
      <xdr:row>10</xdr:row>
      <xdr:rowOff>104775</xdr:rowOff>
    </xdr:to>
    <xdr:sp macro="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4543425" y="1295400"/>
          <a:ext cx="1466850" cy="3619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Arial Black" panose="020B0A04020102020204" pitchFamily="34" charset="0"/>
            </a:rPr>
            <a:t>ALLER AU MENU</a:t>
          </a:r>
          <a:endParaRPr lang="fr-GA" sz="1000">
            <a:latin typeface="Arial Black" panose="020B0A04020102020204" pitchFamily="34" charset="0"/>
          </a:endParaRPr>
        </a:p>
      </xdr:txBody>
    </xdr:sp>
    <xdr:clientData fPrintsWithSheet="0"/>
  </xdr:twoCellAnchor>
  <xdr:twoCellAnchor>
    <xdr:from>
      <xdr:col>2</xdr:col>
      <xdr:colOff>1495425</xdr:colOff>
      <xdr:row>0</xdr:row>
      <xdr:rowOff>47625</xdr:rowOff>
    </xdr:from>
    <xdr:to>
      <xdr:col>4</xdr:col>
      <xdr:colOff>419100</xdr:colOff>
      <xdr:row>4</xdr:row>
      <xdr:rowOff>180975</xdr:rowOff>
    </xdr:to>
    <xdr:sp macro="[0]!Feuil7.SAUVEGARDE6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4048125" y="47625"/>
          <a:ext cx="2400300" cy="6381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SAUVEGARDER ET REINITIALISER LE FORMULAIRE</a:t>
          </a:r>
        </a:p>
      </xdr:txBody>
    </xdr:sp>
    <xdr:clientData fPrintsWithSheet="0"/>
  </xdr:twoCellAnchor>
  <xdr:twoCellAnchor>
    <xdr:from>
      <xdr:col>2</xdr:col>
      <xdr:colOff>1600200</xdr:colOff>
      <xdr:row>4</xdr:row>
      <xdr:rowOff>295275</xdr:rowOff>
    </xdr:from>
    <xdr:to>
      <xdr:col>4</xdr:col>
      <xdr:colOff>304800</xdr:colOff>
      <xdr:row>6</xdr:row>
      <xdr:rowOff>190500</xdr:rowOff>
    </xdr:to>
    <xdr:sp macro="[0]!Feuil7.impimer6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152900" y="800100"/>
          <a:ext cx="2181225" cy="381000"/>
        </a:xfrm>
        <a:prstGeom prst="rect">
          <a:avLst/>
        </a:prstGeom>
        <a:solidFill>
          <a:srgbClr val="FFFF0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  <a:latin typeface="Arial Black" panose="020B0A04020102020204" pitchFamily="34" charset="0"/>
            </a:rPr>
            <a:t>IMPRIMER</a:t>
          </a:r>
          <a:r>
            <a:rPr lang="fr-FR" sz="10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LE FORMULAIRE</a:t>
          </a:r>
          <a:endParaRPr lang="fr-FR" sz="10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200" refreshedDate="43621.644748611114" createdVersion="6" refreshedVersion="6" minRefreshableVersion="3" recordCount="2" xr:uid="{0FB95FF3-B0C8-4D5E-9146-72224697C7E3}">
  <cacheSource type="worksheet">
    <worksheetSource name="T_HISTORIQUE_MASSE"/>
  </cacheSource>
  <cacheFields count="114">
    <cacheField name="DATE MASSE" numFmtId="165">
      <sharedItems containsSemiMixedTypes="0" containsNonDate="0" containsDate="1" containsString="0" minDate="2019-04-30T00:00:00" maxDate="2019-06-01T00:00:00" count="2">
        <d v="2019-04-30T00:00:00"/>
        <d v="2019-05-31T00:00:00"/>
      </sharedItems>
      <fieldGroup par="113" base="0">
        <rangePr groupBy="days" startDate="2019-04-30T00:00:00" endDate="2019-06-01T00:00:00"/>
        <groupItems count="368">
          <s v="&lt;30/04/2019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01/06/2019"/>
        </groupItems>
      </fieldGroup>
    </cacheField>
    <cacheField name="MONTANT PERMANENT" numFmtId="0">
      <sharedItems containsSemiMixedTypes="0" containsString="0" containsNumber="1" containsInteger="1" minValue="50728442338" maxValue="50734928698"/>
    </cacheField>
    <cacheField name="MONTANT PRESALAIRE" numFmtId="0">
      <sharedItems containsSemiMixedTypes="0" containsString="0" containsNumber="1" containsInteger="1" minValue="986970000" maxValue="989120000"/>
    </cacheField>
    <cacheField name="MONTANT MASSE TOTAL" numFmtId="0">
      <sharedItems containsSemiMixedTypes="0" containsString="0" containsNumber="1" containsInteger="1" minValue="51715412338" maxValue="51724048698"/>
    </cacheField>
    <cacheField name="Date lot 2" numFmtId="165">
      <sharedItems containsSemiMixedTypes="0" containsNonDate="0" containsDate="1" containsString="0" minDate="2019-04-30T00:00:00" maxDate="2019-06-01T00:00:00" count="2">
        <d v="2019-04-30T00:00:00"/>
        <d v="2019-05-31T00:00:00"/>
      </sharedItems>
    </cacheField>
    <cacheField name="Justice" numFmtId="0">
      <sharedItems containsSemiMixedTypes="0" containsString="0" containsNumber="1" containsInteger="1" minValue="83" maxValue="87"/>
    </cacheField>
    <cacheField name="Intéreur" numFmtId="0">
      <sharedItems containsSemiMixedTypes="0" containsString="0" containsNumber="1" containsInteger="1" minValue="1" maxValue="4"/>
    </cacheField>
    <cacheField name="Forces de Police Nationale" numFmtId="0">
      <sharedItems containsSemiMixedTypes="0" containsString="0" containsNumber="1" containsInteger="1" minValue="16" maxValue="17"/>
    </cacheField>
    <cacheField name="Sécurité Pénitentiare" numFmtId="0">
      <sharedItems containsSemiMixedTypes="0" containsString="0" containsNumber="1" containsInteger="1" minValue="15" maxValue="16"/>
    </cacheField>
    <cacheField name="Budget/Finances" numFmtId="0">
      <sharedItems containsSemiMixedTypes="0" containsString="0" containsNumber="1" containsInteger="1" minValue="36" maxValue="36"/>
    </cacheField>
    <cacheField name="Commerce" numFmtId="0">
      <sharedItems containsSemiMixedTypes="0" containsString="0" containsNumber="1" containsInteger="1" minValue="1" maxValue="1"/>
    </cacheField>
    <cacheField name="Economie" numFmtId="0">
      <sharedItems containsSemiMixedTypes="0" containsString="0" containsNumber="1" containsInteger="1" minValue="8" maxValue="9"/>
    </cacheField>
    <cacheField name="Communication" numFmtId="0">
      <sharedItems containsSemiMixedTypes="0" containsString="0" containsNumber="1" containsInteger="1" minValue="9" maxValue="11"/>
    </cacheField>
    <cacheField name="Fonction Publique" numFmtId="0">
      <sharedItems containsSemiMixedTypes="0" containsString="0" containsNumber="1" containsInteger="1" minValue="5" maxValue="5"/>
    </cacheField>
    <cacheField name="Agriculture" numFmtId="0">
      <sharedItems containsSemiMixedTypes="0" containsString="0" containsNumber="1" containsInteger="1" minValue="7" maxValue="7"/>
    </cacheField>
    <cacheField name="Total BDC LOT 2" numFmtId="0">
      <sharedItems containsSemiMixedTypes="0" containsString="0" containsNumber="1" containsInteger="1" minValue="183" maxValue="191"/>
    </cacheField>
    <cacheField name="Date lot 1" numFmtId="165">
      <sharedItems containsSemiMixedTypes="0" containsNonDate="0" containsDate="1" containsString="0" minDate="2019-04-30T00:00:00" maxDate="2019-06-04T00:00:00" count="3">
        <d v="2019-04-30T00:00:00"/>
        <d v="2019-05-31T00:00:00"/>
        <d v="2019-06-03T00:00:00" u="1"/>
      </sharedItems>
    </cacheField>
    <cacheField name="Présidence" numFmtId="0">
      <sharedItems containsSemiMixedTypes="0" containsString="0" containsNumber="1" containsInteger="1" minValue="0" maxValue="1"/>
    </cacheField>
    <cacheField name="Assemblée" numFmtId="0">
      <sharedItems containsSemiMixedTypes="0" containsString="0" containsNumber="1" containsInteger="1" minValue="46" maxValue="47"/>
    </cacheField>
    <cacheField name="Contrôle d'Etat" numFmtId="0">
      <sharedItems containsSemiMixedTypes="0" containsString="0" containsNumber="1" containsInteger="1" minValue="1" maxValue="1"/>
    </cacheField>
    <cacheField name="Sénat" numFmtId="0">
      <sharedItems containsSemiMixedTypes="0" containsString="0" containsNumber="1" containsInteger="1" minValue="28" maxValue="28"/>
    </cacheField>
    <cacheField name="Primature" numFmtId="0">
      <sharedItems containsSemiMixedTypes="0" containsString="0" containsNumber="1" containsInteger="1" minValue="2" maxValue="2"/>
    </cacheField>
    <cacheField name="Relation avec les Assemblées" numFmtId="0">
      <sharedItems containsSemiMixedTypes="0" containsString="0" containsNumber="1" containsInteger="1" minValue="1" maxValue="1"/>
    </cacheField>
    <cacheField name="Conseil National de la Communication" numFmtId="0">
      <sharedItems containsSemiMixedTypes="0" containsString="0" containsNumber="1" containsInteger="1" minValue="0" maxValue="0"/>
    </cacheField>
    <cacheField name="Affaires Etrangères" numFmtId="0">
      <sharedItems containsSemiMixedTypes="0" containsString="0" containsNumber="1" containsInteger="1" minValue="2" maxValue="2"/>
    </cacheField>
    <cacheField name="Défense Nationale" numFmtId="0">
      <sharedItems containsSemiMixedTypes="0" containsString="0" containsNumber="1" containsInteger="1" minValue="117" maxValue="125"/>
    </cacheField>
    <cacheField name="Garde Républicaine" numFmtId="0">
      <sharedItems containsSemiMixedTypes="0" containsString="0" containsNumber="1" containsInteger="1" minValue="10" maxValue="14"/>
    </cacheField>
    <cacheField name="Gendamerie Nationale" numFmtId="0">
      <sharedItems containsSemiMixedTypes="0" containsString="0" containsNumber="1" containsInteger="1" minValue="138" maxValue="140"/>
    </cacheField>
    <cacheField name="Forces Terrestres et Navales" numFmtId="0">
      <sharedItems containsSemiMixedTypes="0" containsString="0" containsNumber="1" containsInteger="1" minValue="56" maxValue="66"/>
    </cacheField>
    <cacheField name="Marine Nationale" numFmtId="0">
      <sharedItems containsSemiMixedTypes="0" containsString="0" containsNumber="1" containsInteger="1" minValue="9" maxValue="15"/>
    </cacheField>
    <cacheField name="ALA" numFmtId="0">
      <sharedItems containsSemiMixedTypes="0" containsString="0" containsNumber="1" containsInteger="1" minValue="6" maxValue="6"/>
    </cacheField>
    <cacheField name="Forces Armées Gabonaises" numFmtId="0">
      <sharedItems containsSemiMixedTypes="0" containsString="0" containsNumber="1" containsInteger="1" minValue="19" maxValue="20"/>
    </cacheField>
    <cacheField name="Bataillon des Sapeurs-Pompiers" numFmtId="0">
      <sharedItems containsSemiMixedTypes="0" containsString="0" containsNumber="1" containsInteger="1" minValue="4" maxValue="4"/>
    </cacheField>
    <cacheField name="Cour Constitutionnelle" numFmtId="0">
      <sharedItems containsSemiMixedTypes="0" containsString="0" containsNumber="1" containsInteger="1" minValue="0" maxValue="0"/>
    </cacheField>
    <cacheField name="Total LOT 1" numFmtId="0">
      <sharedItems containsSemiMixedTypes="0" containsString="0" containsNumber="1" containsInteger="1" minValue="440" maxValue="471"/>
    </cacheField>
    <cacheField name="Date LOT 3" numFmtId="165">
      <sharedItems containsSemiMixedTypes="0" containsNonDate="0" containsDate="1" containsString="0" minDate="2019-04-30T00:00:00" maxDate="2019-06-01T00:00:00"/>
    </cacheField>
    <cacheField name="Hauts Fonctionnaires" numFmtId="0">
      <sharedItems containsSemiMixedTypes="0" containsString="0" containsNumber="1" containsInteger="1" minValue="251" maxValue="256"/>
    </cacheField>
    <cacheField name="Eaux et Forêts" numFmtId="0">
      <sharedItems containsSemiMixedTypes="0" containsString="0" containsNumber="1" containsInteger="1" minValue="0" maxValue="2"/>
    </cacheField>
    <cacheField name="Mines et Energie" numFmtId="0">
      <sharedItems containsSemiMixedTypes="0" containsString="0" containsNumber="1" containsInteger="1" minValue="0" maxValue="2"/>
    </cacheField>
    <cacheField name="Pétrole et Hydrocarbures" numFmtId="0">
      <sharedItems containsSemiMixedTypes="0" containsString="0" containsNumber="1" containsInteger="1" minValue="1" maxValue="1"/>
    </cacheField>
    <cacheField name="Travaux Publics Equipement et Construction" numFmtId="0">
      <sharedItems containsSemiMixedTypes="0" containsString="0" containsNumber="1" containsInteger="1" minValue="1" maxValue="1"/>
    </cacheField>
    <cacheField name="Habitat et Cadastre" numFmtId="0">
      <sharedItems containsSemiMixedTypes="0" containsString="0" containsNumber="1" containsInteger="1" minValue="38" maxValue="38"/>
    </cacheField>
    <cacheField name="Domaine" numFmtId="0">
      <sharedItems containsSemiMixedTypes="0" containsString="0" containsNumber="1" containsInteger="1" minValue="0" maxValue="0"/>
    </cacheField>
    <cacheField name="Transport" numFmtId="0">
      <sharedItems containsSemiMixedTypes="0" containsString="0" containsNumber="1" containsInteger="1" minValue="2" maxValue="2"/>
    </cacheField>
    <cacheField name="Marine Marchande" numFmtId="0">
      <sharedItems containsSemiMixedTypes="0" containsString="0" containsNumber="1" containsInteger="1" minValue="0" maxValue="0"/>
    </cacheField>
    <cacheField name="Total LOT 3" numFmtId="0">
      <sharedItems containsSemiMixedTypes="0" containsString="0" containsNumber="1" containsInteger="1" minValue="297" maxValue="298"/>
    </cacheField>
    <cacheField name="Date LOT 4" numFmtId="165">
      <sharedItems containsSemiMixedTypes="0" containsNonDate="0" containsDate="1" containsString="0" minDate="2019-04-30T00:00:00" maxDate="2019-06-01T00:00:00"/>
    </cacheField>
    <cacheField name="Education Nationale 1" numFmtId="0">
      <sharedItems containsSemiMixedTypes="0" containsString="0" containsNumber="1" containsInteger="1" minValue="235" maxValue="281"/>
    </cacheField>
    <cacheField name="Education Nationale 2" numFmtId="0">
      <sharedItems containsSemiMixedTypes="0" containsString="0" containsNumber="1" containsInteger="1" minValue="0" maxValue="0"/>
    </cacheField>
    <cacheField name="Formation Professionnelle" numFmtId="0">
      <sharedItems containsSemiMixedTypes="0" containsString="0" containsNumber="1" containsInteger="1" minValue="1" maxValue="1"/>
    </cacheField>
    <cacheField name="Jeunesse et Sports" numFmtId="0">
      <sharedItems containsSemiMixedTypes="0" containsString="0" containsNumber="1" containsInteger="1" minValue="2" maxValue="2"/>
    </cacheField>
    <cacheField name="Enseignement Supérieur" numFmtId="0">
      <sharedItems containsSemiMixedTypes="0" containsString="0" containsNumber="1" containsInteger="1" minValue="30" maxValue="31"/>
    </cacheField>
    <cacheField name="Culture et Arts" numFmtId="0">
      <sharedItems containsSemiMixedTypes="0" containsString="0" containsNumber="1" containsInteger="1" minValue="1" maxValue="1"/>
    </cacheField>
    <cacheField name="Recherche Scientifique" numFmtId="0">
      <sharedItems containsSemiMixedTypes="0" containsString="0" containsNumber="1" containsInteger="1" minValue="8" maxValue="8"/>
    </cacheField>
    <cacheField name="Santé Publique" numFmtId="0">
      <sharedItems containsSemiMixedTypes="0" containsString="0" containsNumber="1" containsInteger="1" minValue="126" maxValue="128"/>
    </cacheField>
    <cacheField name="Travail et Emploi" numFmtId="0">
      <sharedItems containsSemiMixedTypes="0" containsString="0" containsNumber="1" containsInteger="1" minValue="3" maxValue="3"/>
    </cacheField>
    <cacheField name="Affaire Sociales" numFmtId="0">
      <sharedItems containsSemiMixedTypes="0" containsString="0" containsNumber="1" containsInteger="1" minValue="62" maxValue="63"/>
    </cacheField>
    <cacheField name="Stages" numFmtId="0">
      <sharedItems containsSemiMixedTypes="0" containsString="0" containsNumber="1" containsInteger="1" minValue="0" maxValue="0"/>
    </cacheField>
    <cacheField name="Total LOT 4" numFmtId="1">
      <sharedItems containsSemiMixedTypes="0" containsString="0" containsNumber="1" containsInteger="1" minValue="468" maxValue="518"/>
    </cacheField>
    <cacheField name="Date LOT 5" numFmtId="165">
      <sharedItems containsSemiMixedTypes="0" containsNonDate="0" containsDate="1" containsString="0" minDate="2019-04-30T00:00:00" maxDate="2019-06-01T00:00:00" count="2">
        <d v="2019-04-30T00:00:00"/>
        <d v="2019-05-31T00:00:00"/>
      </sharedItems>
    </cacheField>
    <cacheField name="Bons de caisse 101" numFmtId="0">
      <sharedItems containsSemiMixedTypes="0" containsString="0" containsNumber="1" containsInteger="1" minValue="0" maxValue="0"/>
    </cacheField>
    <cacheField name="107" numFmtId="0">
      <sharedItems containsSemiMixedTypes="0" containsString="0" containsNumber="1" containsInteger="1" minValue="0" maxValue="0"/>
    </cacheField>
    <cacheField name="184" numFmtId="0">
      <sharedItems containsSemiMixedTypes="0" containsString="0" containsNumber="1" containsInteger="1" minValue="2" maxValue="3"/>
    </cacheField>
    <cacheField name="187" numFmtId="0">
      <sharedItems containsNonDate="0" containsString="0" containsBlank="1" count="1">
        <m/>
      </sharedItems>
    </cacheField>
    <cacheField name="188" numFmtId="0">
      <sharedItems containsSemiMixedTypes="0" containsString="0" containsNumber="1" containsInteger="1" minValue="2" maxValue="2"/>
    </cacheField>
    <cacheField name="189" numFmtId="0">
      <sharedItems containsSemiMixedTypes="0" containsString="0" containsNumber="1" containsInteger="1" minValue="0" maxValue="0"/>
    </cacheField>
    <cacheField name="190" numFmtId="0">
      <sharedItems containsSemiMixedTypes="0" containsString="0" containsNumber="1" containsInteger="1" minValue="241" maxValue="252"/>
    </cacheField>
    <cacheField name="191" numFmtId="0">
      <sharedItems containsNonDate="0" containsString="0" containsBlank="1" count="1">
        <m/>
      </sharedItems>
    </cacheField>
    <cacheField name="192" numFmtId="0">
      <sharedItems containsSemiMixedTypes="0" containsString="0" containsNumber="1" containsInteger="1" minValue="21" maxValue="26"/>
    </cacheField>
    <cacheField name="193" numFmtId="0">
      <sharedItems containsSemiMixedTypes="0" containsString="0" containsNumber="1" containsInteger="1" minValue="10" maxValue="17"/>
    </cacheField>
    <cacheField name="194" numFmtId="0">
      <sharedItems containsSemiMixedTypes="0" containsString="0" containsNumber="1" containsInteger="1" minValue="3" maxValue="4"/>
    </cacheField>
    <cacheField name="195" numFmtId="0">
      <sharedItems containsSemiMixedTypes="0" containsString="0" containsNumber="1" containsInteger="1" minValue="287" maxValue="291"/>
    </cacheField>
    <cacheField name="198" numFmtId="0">
      <sharedItems containsSemiMixedTypes="0" containsString="0" containsNumber="1" containsInteger="1" minValue="0" maxValue="3"/>
    </cacheField>
    <cacheField name="199" numFmtId="0">
      <sharedItems containsSemiMixedTypes="0" containsString="0" containsNumber="1" containsInteger="1" minValue="0" maxValue="2"/>
    </cacheField>
    <cacheField name="Total BDC SPE. LOT 5" numFmtId="0">
      <sharedItems containsSemiMixedTypes="0" containsString="0" containsNumber="1" containsInteger="1" minValue="576" maxValue="590"/>
    </cacheField>
    <cacheField name="Date LOT 6" numFmtId="165">
      <sharedItems containsSemiMixedTypes="0" containsNonDate="0" containsDate="1" containsString="0" minDate="2019-04-30T00:00:00" maxDate="2019-06-01T00:00:00" count="2">
        <d v="2019-04-30T00:00:00"/>
        <d v="2019-05-31T00:00:00"/>
      </sharedItems>
    </cacheField>
    <cacheField name="Education   Nationale 1" numFmtId="0">
      <sharedItems containsSemiMixedTypes="0" containsString="0" containsNumber="1" containsInteger="1" minValue="781" maxValue="905"/>
    </cacheField>
    <cacheField name="Education   Nationale 2" numFmtId="0">
      <sharedItems containsSemiMixedTypes="0" containsString="0" containsNumber="1" containsInteger="1" minValue="0" maxValue="0"/>
    </cacheField>
    <cacheField name="Education   Nationale 3" numFmtId="0">
      <sharedItems containsSemiMixedTypes="0" containsString="0" containsNumber="1" containsInteger="1" minValue="0" maxValue="0"/>
    </cacheField>
    <cacheField name="Education   Nationale 4" numFmtId="0">
      <sharedItems containsSemiMixedTypes="0" containsString="0" containsNumber="1" containsInteger="1" minValue="0" maxValue="0"/>
    </cacheField>
    <cacheField name="Jeunesse et Sports2" numFmtId="0">
      <sharedItems containsSemiMixedTypes="0" containsString="0" containsNumber="1" containsInteger="1" minValue="3" maxValue="3"/>
    </cacheField>
    <cacheField name="Enseignement Supérieur3" numFmtId="0">
      <sharedItems containsSemiMixedTypes="0" containsString="0" containsNumber="1" containsInteger="1" minValue="40" maxValue="42"/>
    </cacheField>
    <cacheField name="Santé Publique4" numFmtId="0">
      <sharedItems containsSemiMixedTypes="0" containsString="0" containsNumber="1" containsInteger="1" minValue="161" maxValue="162"/>
    </cacheField>
    <cacheField name="Fonction Publique5" numFmtId="0">
      <sharedItems containsSemiMixedTypes="0" containsString="0" containsNumber="1" containsInteger="1" minValue="2" maxValue="2"/>
    </cacheField>
    <cacheField name="Recherche Scientifique6" numFmtId="0">
      <sharedItems containsSemiMixedTypes="0" containsString="0" containsNumber="1" containsInteger="1" minValue="24" maxValue="24"/>
    </cacheField>
    <cacheField name="Eaux et Forêts7" numFmtId="0">
      <sharedItems containsSemiMixedTypes="0" containsString="0" containsNumber="1" containsInteger="1" minValue="0" maxValue="0"/>
    </cacheField>
    <cacheField name="Eaux et Energie" numFmtId="0">
      <sharedItems containsSemiMixedTypes="0" containsString="0" containsNumber="1" containsInteger="1" minValue="6" maxValue="6"/>
    </cacheField>
    <cacheField name="Mines" numFmtId="0">
      <sharedItems containsSemiMixedTypes="0" containsString="0" containsNumber="1" containsInteger="1" minValue="0" maxValue="0"/>
    </cacheField>
    <cacheField name="Commerce8" numFmtId="0">
      <sharedItems containsSemiMixedTypes="0" containsString="0" containsNumber="1" containsInteger="1" minValue="0" maxValue="0"/>
    </cacheField>
    <cacheField name="Douanes" numFmtId="0">
      <sharedItems containsSemiMixedTypes="0" containsString="0" containsNumber="1" containsInteger="1" minValue="0" maxValue="1"/>
    </cacheField>
    <cacheField name="Tresor" numFmtId="0">
      <sharedItems containsSemiMixedTypes="0" containsString="0" containsNumber="1" containsInteger="1" minValue="2" maxValue="11"/>
    </cacheField>
    <cacheField name="DGCPT" numFmtId="0">
      <sharedItems containsNonDate="0" containsString="0" containsBlank="1"/>
    </cacheField>
    <cacheField name="DGCC" numFmtId="0">
      <sharedItems containsSemiMixedTypes="0" containsString="0" containsNumber="1" containsInteger="1" minValue="0" maxValue="5"/>
    </cacheField>
    <cacheField name="Economie9" numFmtId="0">
      <sharedItems containsSemiMixedTypes="0" containsString="0" containsNumber="1" containsInteger="1" minValue="0" maxValue="5"/>
    </cacheField>
    <cacheField name="Impots" numFmtId="0">
      <sharedItems containsSemiMixedTypes="0" containsString="0" containsNumber="1" containsInteger="1" minValue="0" maxValue="2"/>
    </cacheField>
    <cacheField name="DG Budget" numFmtId="0">
      <sharedItems containsSemiMixedTypes="0" containsString="0" containsNumber="1" containsInteger="1" minValue="11" maxValue="50"/>
    </cacheField>
    <cacheField name="Direction de la solde" numFmtId="0">
      <sharedItems containsSemiMixedTypes="0" containsString="0" containsNumber="1" containsInteger="1" minValue="0" maxValue="1"/>
    </cacheField>
    <cacheField name="DG Economie" numFmtId="0">
      <sharedItems containsSemiMixedTypes="0" containsString="0" containsNumber="1" containsInteger="1" minValue="2" maxValue="2"/>
    </cacheField>
    <cacheField name="Coopération   Cubaine bdc 188" numFmtId="0">
      <sharedItems containsSemiMixedTypes="0" containsString="0" containsNumber="1" containsInteger="1" minValue="62" maxValue="63"/>
    </cacheField>
    <cacheField name="178" numFmtId="0">
      <sharedItems containsSemiMixedTypes="0" containsString="0" containsNumber="1" containsInteger="1" minValue="2" maxValue="2"/>
    </cacheField>
    <cacheField name="184." numFmtId="0">
      <sharedItems containsSemiMixedTypes="0" containsString="0" containsNumber="1" containsInteger="1" minValue="217" maxValue="217"/>
    </cacheField>
    <cacheField name="187." numFmtId="0">
      <sharedItems containsSemiMixedTypes="0" containsString="0" containsNumber="1" containsInteger="1" minValue="5" maxValue="6"/>
    </cacheField>
    <cacheField name="190." numFmtId="0">
      <sharedItems containsSemiMixedTypes="0" containsString="0" containsNumber="1" containsInteger="1" minValue="0" maxValue="2"/>
    </cacheField>
    <cacheField name="193." numFmtId="0">
      <sharedItems containsSemiMixedTypes="0" containsString="0" containsNumber="1" containsInteger="1" minValue="0" maxValue="1"/>
    </cacheField>
    <cacheField name="Total PRES. LOT 6" numFmtId="0">
      <sharedItems containsSemiMixedTypes="0" containsString="0" containsNumber="1" containsInteger="1" minValue="1332" maxValue="1498"/>
    </cacheField>
    <cacheField name="BDC 187" numFmtId="0">
      <sharedItems containsSemiMixedTypes="0" containsString="0" containsNumber="1" containsInteger="1" minValue="280" maxValue="284"/>
    </cacheField>
    <cacheField name="BDC 187 régul." numFmtId="0">
      <sharedItems containsNonDate="0" containsString="0" containsBlank="1"/>
    </cacheField>
    <cacheField name="BDC 187 non régul." numFmtId="0">
      <sharedItems containsSemiMixedTypes="0" containsString="0" containsNumber="1" containsInteger="1" minValue="280" maxValue="284"/>
    </cacheField>
    <cacheField name="BDC 191" numFmtId="0">
      <sharedItems containsSemiMixedTypes="0" containsString="0" containsNumber="1" containsInteger="1" minValue="66" maxValue="78"/>
    </cacheField>
    <cacheField name="BDC 191 régul" numFmtId="0">
      <sharedItems containsNonDate="0" containsString="0" containsBlank="1"/>
    </cacheField>
    <cacheField name="BDC 191 non régul." numFmtId="0">
      <sharedItems containsSemiMixedTypes="0" containsString="0" containsNumber="1" containsInteger="1" minValue="66" maxValue="78"/>
    </cacheField>
    <cacheField name="DATE PERIODE (N-1)" numFmtId="165">
      <sharedItems containsSemiMixedTypes="0" containsNonDate="0" containsDate="1" containsString="0" minDate="2019-04-30T00:00:00" maxDate="2019-05-31T00:00:00" count="2">
        <d v="2019-04-30T00:00:00"/>
        <d v="2019-05-30T00:00:00"/>
      </sharedItems>
    </cacheField>
    <cacheField name="DATE PERIODE (N)" numFmtId="165">
      <sharedItems containsSemiMixedTypes="0" containsNonDate="0" containsDate="1" containsString="0" minDate="2019-04-30T00:00:00" maxDate="2019-05-31T00:00:00" count="2">
        <d v="2019-04-30T00:00:00"/>
        <d v="2019-05-30T00:00:00"/>
      </sharedItems>
    </cacheField>
    <cacheField name="Mois4" numFmtId="0" databaseField="0">
      <fieldGroup base="0">
        <rangePr groupBy="months" startDate="2019-04-30T00:00:00" endDate="2019-06-01T00:00:00"/>
        <groupItems count="14">
          <s v="&lt;30/04/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1/06/2019"/>
        </groupItems>
      </fieldGroup>
    </cacheField>
  </cacheFields>
  <extLst>
    <ext xmlns:x14="http://schemas.microsoft.com/office/spreadsheetml/2009/9/main" uri="{725AE2AE-9491-48be-B2B4-4EB974FC3084}">
      <x14:pivotCacheDefinition pivotCacheId="1485370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50728442338"/>
    <n v="986970000"/>
    <n v="51715412338"/>
    <x v="0"/>
    <n v="83"/>
    <n v="1"/>
    <n v="16"/>
    <n v="15"/>
    <n v="36"/>
    <n v="1"/>
    <n v="8"/>
    <n v="11"/>
    <n v="5"/>
    <n v="7"/>
    <n v="183"/>
    <x v="0"/>
    <n v="0"/>
    <n v="47"/>
    <n v="1"/>
    <n v="28"/>
    <n v="2"/>
    <n v="1"/>
    <n v="0"/>
    <n v="2"/>
    <n v="117"/>
    <n v="10"/>
    <n v="138"/>
    <n v="56"/>
    <n v="9"/>
    <n v="6"/>
    <n v="19"/>
    <n v="4"/>
    <n v="0"/>
    <n v="440"/>
    <d v="2019-04-30T00:00:00"/>
    <n v="256"/>
    <n v="0"/>
    <n v="0"/>
    <n v="1"/>
    <n v="1"/>
    <n v="38"/>
    <n v="0"/>
    <n v="2"/>
    <n v="0"/>
    <n v="298"/>
    <d v="2019-04-30T00:00:00"/>
    <n v="235"/>
    <n v="0"/>
    <n v="1"/>
    <n v="2"/>
    <n v="30"/>
    <n v="1"/>
    <n v="8"/>
    <n v="126"/>
    <n v="3"/>
    <n v="62"/>
    <n v="0"/>
    <n v="468"/>
    <x v="0"/>
    <n v="0"/>
    <n v="0"/>
    <n v="2"/>
    <x v="0"/>
    <n v="2"/>
    <n v="0"/>
    <n v="252"/>
    <x v="0"/>
    <n v="26"/>
    <n v="10"/>
    <n v="4"/>
    <n v="291"/>
    <n v="3"/>
    <n v="0"/>
    <n v="590"/>
    <x v="0"/>
    <n v="781"/>
    <n v="0"/>
    <n v="0"/>
    <n v="0"/>
    <n v="3"/>
    <n v="42"/>
    <n v="162"/>
    <n v="2"/>
    <n v="24"/>
    <n v="0"/>
    <n v="6"/>
    <n v="0"/>
    <n v="0"/>
    <n v="0"/>
    <n v="2"/>
    <m/>
    <n v="0"/>
    <n v="5"/>
    <n v="2"/>
    <n v="11"/>
    <n v="1"/>
    <n v="2"/>
    <n v="63"/>
    <n v="2"/>
    <n v="217"/>
    <n v="5"/>
    <n v="2"/>
    <n v="0"/>
    <n v="1332"/>
    <n v="284"/>
    <m/>
    <n v="284"/>
    <n v="78"/>
    <m/>
    <n v="78"/>
    <x v="0"/>
    <x v="0"/>
  </r>
  <r>
    <x v="1"/>
    <n v="50734928698"/>
    <n v="989120000"/>
    <n v="51724048698"/>
    <x v="1"/>
    <n v="87"/>
    <n v="4"/>
    <n v="17"/>
    <n v="16"/>
    <n v="36"/>
    <n v="1"/>
    <n v="9"/>
    <n v="9"/>
    <n v="5"/>
    <n v="7"/>
    <n v="191"/>
    <x v="1"/>
    <n v="1"/>
    <n v="46"/>
    <n v="1"/>
    <n v="28"/>
    <n v="2"/>
    <n v="1"/>
    <n v="0"/>
    <n v="2"/>
    <n v="125"/>
    <n v="14"/>
    <n v="140"/>
    <n v="66"/>
    <n v="15"/>
    <n v="6"/>
    <n v="20"/>
    <n v="4"/>
    <n v="0"/>
    <n v="471"/>
    <d v="2019-05-31T00:00:00"/>
    <n v="251"/>
    <n v="2"/>
    <n v="2"/>
    <n v="1"/>
    <n v="1"/>
    <n v="38"/>
    <n v="0"/>
    <n v="2"/>
    <n v="0"/>
    <n v="297"/>
    <d v="2019-05-31T00:00:00"/>
    <n v="281"/>
    <n v="0"/>
    <n v="1"/>
    <n v="2"/>
    <n v="31"/>
    <n v="1"/>
    <n v="8"/>
    <n v="128"/>
    <n v="3"/>
    <n v="63"/>
    <n v="0"/>
    <n v="518"/>
    <x v="1"/>
    <n v="0"/>
    <n v="0"/>
    <n v="3"/>
    <x v="0"/>
    <n v="2"/>
    <n v="0"/>
    <n v="241"/>
    <x v="0"/>
    <n v="21"/>
    <n v="17"/>
    <n v="3"/>
    <n v="287"/>
    <n v="0"/>
    <n v="2"/>
    <n v="576"/>
    <x v="1"/>
    <n v="905"/>
    <n v="0"/>
    <n v="0"/>
    <n v="0"/>
    <n v="3"/>
    <n v="40"/>
    <n v="161"/>
    <n v="2"/>
    <n v="24"/>
    <n v="0"/>
    <n v="6"/>
    <n v="0"/>
    <n v="0"/>
    <n v="1"/>
    <n v="11"/>
    <m/>
    <n v="5"/>
    <n v="0"/>
    <n v="0"/>
    <n v="50"/>
    <n v="0"/>
    <n v="2"/>
    <n v="62"/>
    <n v="2"/>
    <n v="217"/>
    <n v="6"/>
    <n v="0"/>
    <n v="1"/>
    <n v="1498"/>
    <n v="280"/>
    <m/>
    <n v="280"/>
    <n v="66"/>
    <m/>
    <n v="66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4D7391-295E-4F37-9DEB-4FB2FED185ED}" name="TCD_BDC_187_N-1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AG2:AJ5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axis="axisRow" numFmtId="165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numFmtId="165" showAll="0">
      <items count="3">
        <item x="0"/>
        <item x="1"/>
        <item t="default"/>
      </items>
    </pivotField>
    <pivotField numFmtId="165" showAll="0"/>
    <pivotField showAll="0" defaultSubtotal="0"/>
  </pivotFields>
  <rowFields count="1">
    <field x="59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 BDC 187" fld="105" baseField="0" baseItem="0"/>
    <dataField name=" BDC 187 régul." fld="106" baseField="0" baseItem="0"/>
    <dataField name=" BDC 187 non régul." fld="10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3E740-1842-4E7B-99AF-0511CF2B308A}" name="TCD_BDC_191_N-1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AQ2:AT5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axis="axisRow" numFmtId="165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numFmtId="165" showAll="0">
      <items count="3">
        <item x="0"/>
        <item x="1"/>
        <item t="default"/>
      </items>
    </pivotField>
    <pivotField numFmtId="165" showAll="0"/>
    <pivotField showAll="0" defaultSubtotal="0"/>
  </pivotFields>
  <rowFields count="1">
    <field x="59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 BDC 191" fld="108" baseField="0" baseItem="0"/>
    <dataField name=" BDC 191 régul" fld="109" baseField="0" baseItem="0"/>
    <dataField name=" BDC 191 non régul." fld="1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9DCAB1-CCCE-46FC-A565-51EF508A58AA}" name="TCD_BDC_SPE_N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EY4:FK11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axis="axisRow" numFmtId="165" showAll="0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axis="axisRow" showAll="0">
      <items count="2">
        <item x="0"/>
        <item t="default"/>
      </items>
    </pivotField>
    <pivotField dataField="1" showAll="0"/>
    <pivotField dataField="1" showAll="0"/>
    <pivotField dataField="1" showAll="0"/>
    <pivotField axis="axisRow"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5" showAll="0">
      <items count="3">
        <item x="0"/>
        <item x="1"/>
        <item t="default"/>
      </items>
    </pivotField>
    <pivotField showAll="0" defaultSubtotal="0"/>
  </pivotFields>
  <rowFields count="3">
    <field x="59"/>
    <field x="63"/>
    <field x="67"/>
  </rowFields>
  <rowItems count="7">
    <i>
      <x/>
    </i>
    <i r="1">
      <x/>
    </i>
    <i r="2">
      <x/>
    </i>
    <i>
      <x v="1"/>
    </i>
    <i r="1">
      <x/>
    </i>
    <i r="2"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 Bons de caisse 101" fld="60" baseField="0" baseItem="0"/>
    <dataField name=" 107" fld="61" baseField="0" baseItem="0"/>
    <dataField name=" 184" fld="62" baseField="0" baseItem="0"/>
    <dataField name=" 188" fld="64" baseField="0" baseItem="0"/>
    <dataField name=" 189" fld="65" baseField="0" baseItem="0"/>
    <dataField name=" 190" fld="66" baseField="0" baseItem="0"/>
    <dataField name=" 192" fld="68" baseField="0" baseItem="0"/>
    <dataField name=" 193" fld="69" baseField="0" baseItem="0"/>
    <dataField name=" 194" fld="70" baseField="0" baseItem="0"/>
    <dataField name=" 195" fld="71" baseField="0" baseItem="0"/>
    <dataField name=" 198" fld="72" baseField="0" baseItem="0"/>
    <dataField name=" 199" fld="7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0A3C5D-55F9-4FAE-9673-535015A82422}" name="TCD_LOT_N-1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T2:Z5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numFmtId="165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numFmtId="165" showAll="0">
      <items count="3">
        <item x="0"/>
        <item x="1"/>
        <item t="default"/>
      </items>
    </pivotField>
    <pivotField numFmtId="165" showAll="0"/>
    <pivotField showAll="0" defaultSubtotal="0"/>
  </pivotFields>
  <rowFields count="1">
    <field x="16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 Total LOT 1" fld="34" baseField="16" baseItem="121"/>
    <dataField name=" Total BDC LOT 2" fld="15" baseField="16" baseItem="121"/>
    <dataField name=" Total LOT 3" fld="45" baseField="16" baseItem="121"/>
    <dataField name=" Total LOT 4" fld="58" baseField="16" baseItem="121"/>
    <dataField name=" Total BDC SPE. LOT 5" fld="74" baseField="16" baseItem="121"/>
    <dataField name=" Total PRES. LOT 6" fld="104" baseField="16" baseItem="1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931ED4-EDF7-4CE0-B7FF-DBD56E81D557}" name="TCD_BDC_191_N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3">
  <location ref="AL2:AO5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axis="axisRow" numFmtId="165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numFmtId="165" showAll="0"/>
    <pivotField numFmtId="165" showAll="0">
      <items count="3">
        <item x="0"/>
        <item x="1"/>
        <item t="default"/>
      </items>
    </pivotField>
    <pivotField showAll="0" defaultSubtotal="0"/>
  </pivotFields>
  <rowFields count="1">
    <field x="59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 BDC 191" fld="108" baseField="0" baseItem="0"/>
    <dataField name=" BDC 191 régul" fld="109" baseField="0" baseItem="0"/>
    <dataField name=" BDC 191 non régul." fld="110" baseField="0" baseItem="0"/>
  </dataFields>
  <chartFormats count="3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C03EB7-C14C-49D2-9B7F-4BDA7951BD14}" name="TCD_LOT_N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3">
  <location ref="G2:M5" firstHeaderRow="0" firstDataRow="1" firstDataCol="1"/>
  <pivotFields count="114"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numFmtId="165" showAll="0"/>
    <pivotField numFmtId="165"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 Total LOT 1" fld="34" baseField="0" baseItem="0"/>
    <dataField name=" Total BDC LOT 2" fld="15" baseField="0" baseItem="0"/>
    <dataField name=" Total LOT 3" fld="45" baseField="0" baseItem="0"/>
    <dataField name=" Total LOT 4" fld="58" baseField="0" baseItem="0"/>
    <dataField name=" Total BDC SPE. LOT 5" fld="74" baseField="0" baseItem="0"/>
    <dataField name=" Total PRES. LOT 6" fld="104" baseField="0" baseItem="0"/>
  </dataFields>
  <chartFormats count="6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3EB0D-E91A-45CE-8CBA-BD2E6C317827}" name="TCD_BDC_PRES_N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GG4:HH7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65" showAll="0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5" showAll="0">
      <items count="3">
        <item x="0"/>
        <item x="1"/>
        <item t="default"/>
      </items>
    </pivotField>
    <pivotField showAll="0" defaultSubtotal="0"/>
  </pivotFields>
  <rowFields count="1">
    <field x="75"/>
  </rowFields>
  <rowItems count="3">
    <i>
      <x/>
    </i>
    <i>
      <x v="1"/>
    </i>
    <i t="grand">
      <x/>
    </i>
  </rowItems>
  <colFields count="1">
    <field x="-2"/>
  </colFields>
  <colItems count="2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</colItems>
  <dataFields count="27">
    <dataField name=" Education   Nationale 1" fld="76" baseField="0" baseItem="0"/>
    <dataField name=" Education   Nationale 2" fld="77" baseField="0" baseItem="0"/>
    <dataField name=" Education   Nationale 3" fld="78" baseField="0" baseItem="0"/>
    <dataField name=" Education   Nationale 4" fld="79" baseField="0" baseItem="0"/>
    <dataField name=" Jeunesse et Sports." fld="80" baseField="0" baseItem="0"/>
    <dataField name=" Enseignement Supérieur." fld="81" baseField="0" baseItem="0"/>
    <dataField name=" Santé Publique." fld="82" baseField="0" baseItem="0"/>
    <dataField name=" Fonction Publique." fld="83" baseField="0" baseItem="0"/>
    <dataField name=" Recherche Scientifique." fld="84" baseField="0" baseItem="0"/>
    <dataField name=" Eaux et Forêts." fld="85" baseField="0" baseItem="0"/>
    <dataField name=" Eaux et Energie" fld="86" baseField="0" baseItem="0"/>
    <dataField name=" Mines" fld="87" baseField="0" baseItem="0"/>
    <dataField name=" Commerce." fld="88" baseField="0" baseItem="0"/>
    <dataField name=" Douanes" fld="89" baseField="0" baseItem="0"/>
    <dataField name=" Tresor" fld="90" baseField="0" baseItem="0"/>
    <dataField name=" DGCPT" fld="91" baseField="0" baseItem="0"/>
    <dataField name=" DGCC" fld="92" baseField="0" baseItem="0"/>
    <dataField name=" Economie." fld="93" baseField="0" baseItem="0"/>
    <dataField name=" Impots" fld="94" baseField="0" baseItem="0"/>
    <dataField name=" DG Budget" fld="95" baseField="0" baseItem="0"/>
    <dataField name=" Direction de la solde" fld="96" baseField="0" baseItem="0"/>
    <dataField name=" DG Economie" fld="97" baseField="0" baseItem="0"/>
    <dataField name=" Coopération   Cubaine bdc 188" fld="98" baseField="0" baseItem="0"/>
    <dataField name=" BDC 178" fld="99" baseField="0" baseItem="0"/>
    <dataField name="BDC 184." fld="100" baseField="0" baseItem="0"/>
    <dataField name="BDC 190." fld="102" baseField="0" baseItem="0"/>
    <dataField name="BDC 193." fld="10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005CA-6D5B-4921-A798-F3915F733F0F}" name="TCD_MASSE_N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3">
  <location ref="B2:E5" firstHeaderRow="0" firstDataRow="1" firstDataCol="1"/>
  <pivotFields count="114"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65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5"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6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 MONTANT MASSE TOTAL" fld="3" baseField="111" baseItem="4"/>
    <dataField name=" MONTANT PERMANENT" fld="1" baseField="111" baseItem="4"/>
    <dataField name=" MONTANT PRESALAIRE" fld="2" baseField="16" baseItem="2"/>
  </dataFields>
  <chartFormats count="3">
    <chartFormat chart="2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A7C1A9-634A-4D2B-BA19-81C372D95F63}" name="TCD_BDC_PRES_N-1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HJ4:IK7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65" showAll="0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65" showAll="0">
      <items count="3">
        <item x="0"/>
        <item x="1"/>
        <item t="default"/>
      </items>
    </pivotField>
    <pivotField numFmtId="165" showAll="0"/>
    <pivotField showAll="0" defaultSubtotal="0"/>
  </pivotFields>
  <rowFields count="1">
    <field x="75"/>
  </rowFields>
  <rowItems count="3">
    <i>
      <x/>
    </i>
    <i>
      <x v="1"/>
    </i>
    <i t="grand">
      <x/>
    </i>
  </rowItems>
  <colFields count="1">
    <field x="-2"/>
  </colFields>
  <colItems count="2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</colItems>
  <dataFields count="27">
    <dataField name=" Education   Nationale 1" fld="76" baseField="0" baseItem="0"/>
    <dataField name=" Education   Nationale 2" fld="77" baseField="0" baseItem="0"/>
    <dataField name=" Education   Nationale 3" fld="78" baseField="0" baseItem="0"/>
    <dataField name=" Education   Nationale 4" fld="79" baseField="0" baseItem="0"/>
    <dataField name=" Jeunesse et Sports." fld="80" baseField="0" baseItem="0"/>
    <dataField name=" Enseignement Supérieur." fld="81" baseField="0" baseItem="0"/>
    <dataField name=" Santé Publique." fld="82" baseField="0" baseItem="0"/>
    <dataField name=" Fonction Publique." fld="83" baseField="0" baseItem="0"/>
    <dataField name=" Recherche Scientifique." fld="84" baseField="0" baseItem="0"/>
    <dataField name=" Eaux et Forêts." fld="85" baseField="0" baseItem="0"/>
    <dataField name=" Eaux et Energie" fld="86" baseField="0" baseItem="0"/>
    <dataField name=" Mines" fld="87" baseField="0" baseItem="0"/>
    <dataField name=" Commerce." fld="88" baseField="0" baseItem="0"/>
    <dataField name=" Douanes" fld="89" baseField="0" baseItem="0"/>
    <dataField name=" Tresor" fld="90" baseField="0" baseItem="0"/>
    <dataField name=" DGCPT" fld="91" baseField="0" baseItem="0"/>
    <dataField name=" DGCC" fld="92" baseField="0" baseItem="0"/>
    <dataField name=" Economie." fld="93" baseField="0" baseItem="0"/>
    <dataField name=" Impots" fld="94" baseField="0" baseItem="0"/>
    <dataField name=" DG Budget" fld="95" baseField="0" baseItem="0"/>
    <dataField name=" Direction de la solde" fld="96" baseField="0" baseItem="0"/>
    <dataField name=" DG Economie" fld="97" baseField="0" baseItem="0"/>
    <dataField name=" Coopération   Cubaine bdc 188" fld="98" baseField="0" baseItem="0"/>
    <dataField name=" BDC 178" fld="99" baseField="0" baseItem="0"/>
    <dataField name="BDC 184." fld="100" baseField="0" baseItem="0"/>
    <dataField name="BDC 190." fld="102" baseField="0" baseItem="0"/>
    <dataField name="BDC 193." fld="10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AF947D-B7BB-49F5-B532-A91256C38C92}" name="TCD_MASSE_N-1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O2:R5" firstHeaderRow="0" firstDataRow="1" firstDataCol="1"/>
  <pivotFields count="114">
    <pivotField axis="axisRow"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>
      <items count="3">
        <item x="0"/>
        <item x="1"/>
        <item t="default"/>
      </items>
    </pivotField>
    <pivotField numFmtId="165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3">
    <i>
      <x v="121"/>
    </i>
    <i>
      <x v="15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 MONTANT PERMANENT" fld="1" baseField="0" baseItem="121"/>
    <dataField name=" MONTANT PRESALAIRE" fld="2" baseField="0" baseItem="121"/>
    <dataField name=" MONTANT MASSE TOTAL" fld="3" baseField="0" baseItem="1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E46478-148E-4C49-8821-25D331368F39}" name="TCD_GLOBAL_N-1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CS3:EN6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axis="axisRow" numFmtId="165" showAll="0">
      <items count="4">
        <item x="0"/>
        <item x="1"/>
        <item m="1"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165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165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>
      <items count="3">
        <item x="0"/>
        <item x="1"/>
        <item t="default"/>
      </items>
    </pivotField>
    <pivotField numFmtId="165" showAll="0"/>
    <pivotField showAll="0" defaultSubtotal="0"/>
  </pivotFields>
  <rowFields count="1">
    <field x="16"/>
  </rowFields>
  <rowItems count="3">
    <i>
      <x/>
    </i>
    <i>
      <x v="1"/>
    </i>
    <i t="grand">
      <x/>
    </i>
  </rowItems>
  <colFields count="1">
    <field x="-2"/>
  </colFields>
  <colItems count="4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</colItems>
  <dataFields count="47">
    <dataField name=" Présidence" fld="17" baseField="16" baseItem="121"/>
    <dataField name=" Assemblée" fld="18" baseField="16" baseItem="121"/>
    <dataField name=" Contrôle d'Etat" fld="19" baseField="16" baseItem="121"/>
    <dataField name=" Sénat" fld="20" baseField="16" baseItem="121"/>
    <dataField name=" Primature" fld="21" baseField="16" baseItem="121"/>
    <dataField name=" Relation avec les Assemblées" fld="22" baseField="16" baseItem="121"/>
    <dataField name=" Conseil National de la Communication" fld="23" baseField="16" baseItem="121"/>
    <dataField name=" Agriculture" fld="14" subtotal="count" baseField="16" baseItem="121"/>
    <dataField name=" Affaires Etrangères" fld="24" baseField="16" baseItem="121"/>
    <dataField name=" Défense Nationale" fld="25" baseField="16" baseItem="121"/>
    <dataField name=" Garde Républicaine" fld="26" baseField="16" baseItem="121"/>
    <dataField name=" Gendamerie Nationale" fld="27" baseField="16" baseItem="121"/>
    <dataField name=" Forces Terrestres et Navales" fld="28" baseField="16" baseItem="121"/>
    <dataField name=" ALA" fld="30" baseField="16" baseItem="121"/>
    <dataField name=" Marine Nationale" fld="29" baseField="16" baseItem="121"/>
    <dataField name=" Armées Gabonaises" fld="31" baseField="16" baseItem="121"/>
    <dataField name=" Bataillon des Sapeurs-Pompiers" fld="32" baseField="16" baseItem="121"/>
    <dataField name=" Cour Constitutionnelle" fld="33" baseField="16" baseItem="121"/>
    <dataField name=" Hauts Fonctionnaires" fld="36" baseField="16" baseItem="121"/>
    <dataField name=" Eaux et Forêts" fld="37" baseField="16" baseItem="121"/>
    <dataField name=" Mines et Energie" fld="38" baseField="16" baseItem="121"/>
    <dataField name=" Pétrole et Hydrocarbures" fld="39" baseField="16" baseItem="121"/>
    <dataField name=" Travaux Publics Equipement et Construction" fld="40" baseField="16" baseItem="121"/>
    <dataField name=" Habitat et Cadastre" fld="41" baseField="16" baseItem="121"/>
    <dataField name=" Domaine" fld="42" baseField="16" baseItem="121"/>
    <dataField name=" Transport" fld="43" baseField="16" baseItem="121"/>
    <dataField name=" Marine Marchande" fld="44" baseField="16" baseItem="121"/>
    <dataField name=" Justice" fld="5" baseField="16" baseItem="121"/>
    <dataField name=" Intéreur" fld="6" baseField="16" baseItem="121"/>
    <dataField name=" Forces de Police Nationale" fld="7" baseField="16" baseItem="121"/>
    <dataField name=" Sécurité Pénitentiare" fld="8" baseField="16" baseItem="121"/>
    <dataField name=" Budget/Finances" fld="9" baseField="16" baseItem="121"/>
    <dataField name=" Commerce" fld="10" baseField="16" baseItem="121"/>
    <dataField name=" Economie" fld="11" baseField="16" baseItem="121"/>
    <dataField name=" Communication" fld="12" baseField="16" baseItem="121"/>
    <dataField name=" Fonction Publique" fld="13" baseField="16" baseItem="121"/>
    <dataField name=" Education Nationale 1" fld="47" baseField="16" baseItem="121"/>
    <dataField name=" Education Nationale 2" fld="48" baseField="16" baseItem="121"/>
    <dataField name=" Formation Professionnelle" fld="49" baseField="16" baseItem="121"/>
    <dataField name=" Jeunesse et Sports" fld="50" baseField="16" baseItem="121"/>
    <dataField name=" Enseignement Supérieur" fld="51" baseField="16" baseItem="121"/>
    <dataField name=" Culture et Arts" fld="52" baseField="16" baseItem="121"/>
    <dataField name=" Recherche Scientifique" fld="53" baseField="16" baseItem="121"/>
    <dataField name=" Santé Publique" fld="54" baseField="16" baseItem="121"/>
    <dataField name=" Travail et Emploi" fld="55" baseField="16" baseItem="121"/>
    <dataField name=" Affaire Sociales" fld="56" baseField="16" baseItem="121"/>
    <dataField name=" Stages" fld="57" baseField="16" baseItem="1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A23925-A239-4760-B73B-CFD594036A6F}" name="TCD_BDC100_N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AV3:CQ6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axis="axisRow" numFmtId="165" showAll="0">
      <items count="4">
        <item x="0"/>
        <item x="1"/>
        <item m="1"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165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165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numFmtId="1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5" showAll="0">
      <items count="3">
        <item x="0"/>
        <item x="1"/>
        <item t="default"/>
      </items>
    </pivotField>
    <pivotField showAll="0" defaultSubtotal="0"/>
  </pivotFields>
  <rowFields count="1">
    <field x="16"/>
  </rowFields>
  <rowItems count="3">
    <i>
      <x/>
    </i>
    <i>
      <x v="1"/>
    </i>
    <i t="grand">
      <x/>
    </i>
  </rowItems>
  <colFields count="1">
    <field x="-2"/>
  </colFields>
  <colItems count="4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</colItems>
  <dataFields count="47">
    <dataField name=" Présidence" fld="17" baseField="16" baseItem="121"/>
    <dataField name=" Assemblée" fld="18" baseField="16" baseItem="121"/>
    <dataField name=" Contrôle d'Etat" fld="19" baseField="16" baseItem="121"/>
    <dataField name=" Sénat" fld="20" baseField="16" baseItem="121"/>
    <dataField name=" Primature" fld="21" baseField="16" baseItem="121"/>
    <dataField name=" Relation avec les Assemblées" fld="22" baseField="16" baseItem="121"/>
    <dataField name=" Conseil National de la Communication" fld="23" baseField="16" baseItem="121"/>
    <dataField name=" Agriculture" fld="14" subtotal="count" baseField="16" baseItem="121"/>
    <dataField name=" Affaires Etrangères" fld="24" baseField="16" baseItem="121"/>
    <dataField name=" Défense Nationale" fld="25" baseField="16" baseItem="121"/>
    <dataField name=" Garde Républicaine" fld="26" baseField="16" baseItem="121"/>
    <dataField name=" Gendamerie Nationale" fld="27" baseField="16" baseItem="121"/>
    <dataField name=" Forces Terrestres et Navales" fld="28" baseField="16" baseItem="121"/>
    <dataField name=" ALA" fld="30" baseField="16" baseItem="121"/>
    <dataField name=" Marine Nationale" fld="29" baseField="16" baseItem="121"/>
    <dataField name=" Forces Armées Gabonaises" fld="31" baseField="16" baseItem="121"/>
    <dataField name=" Bataillon des Sapeurs-Pompiers" fld="32" baseField="16" baseItem="121"/>
    <dataField name=" Cour Constitutionnelle" fld="33" baseField="16" baseItem="121"/>
    <dataField name=" Hauts Fonctionnaires" fld="36" baseField="16" baseItem="121"/>
    <dataField name=" Eaux et Forêts" fld="37" baseField="16" baseItem="121"/>
    <dataField name=" Mines et Energie" fld="38" baseField="16" baseItem="121"/>
    <dataField name=" Pétrole et Hydrocarbures" fld="39" baseField="16" baseItem="121"/>
    <dataField name=" Travaux Publics Equipement et Construction" fld="40" baseField="16" baseItem="121"/>
    <dataField name=" Habitat et Cadastre" fld="41" baseField="16" baseItem="121"/>
    <dataField name=" Domaine" fld="42" baseField="16" baseItem="121"/>
    <dataField name=" Transport" fld="43" baseField="16" baseItem="121"/>
    <dataField name=" Marine Marchande" fld="44" baseField="16" baseItem="121"/>
    <dataField name=" Justice" fld="5" baseField="16" baseItem="121"/>
    <dataField name=" Intéreur" fld="6" baseField="16" baseItem="121"/>
    <dataField name=" Forces de Police Nationale" fld="7" baseField="16" baseItem="121"/>
    <dataField name=" Sécurité Pénitentiare" fld="8" baseField="16" baseItem="121"/>
    <dataField name=" Budget/Finances" fld="9" baseField="16" baseItem="121"/>
    <dataField name=" Commerce" fld="10" baseField="16" baseItem="121"/>
    <dataField name=" Economie" fld="11" baseField="16" baseItem="121"/>
    <dataField name=" Communication" fld="12" baseField="16" baseItem="121"/>
    <dataField name=" Fonction Publique" fld="13" baseField="16" baseItem="121"/>
    <dataField name=" Education Nationale 1" fld="47" baseField="16" baseItem="121"/>
    <dataField name=" Education Nationale 2" fld="48" baseField="16" baseItem="121"/>
    <dataField name=" Formation Professionnelle" fld="49" baseField="16" baseItem="121"/>
    <dataField name=" Jeunesse et Sports" fld="50" baseField="16" baseItem="121"/>
    <dataField name=" Enseignement Supérieur" fld="51" baseField="16" baseItem="121"/>
    <dataField name=" Culture et Arts" fld="52" baseField="16" baseItem="121"/>
    <dataField name=" Recherche Scientifique" fld="53" baseField="16" baseItem="121"/>
    <dataField name=" Santé Publique" fld="54" baseField="16" baseItem="121"/>
    <dataField name=" Travail et Emploi" fld="55" baseField="16" baseItem="121"/>
    <dataField name=" Affaire Sociales" fld="56" baseField="16" baseItem="121"/>
    <dataField name=" de Stages" fld="57" baseField="16" baseItem="1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04060-3BEA-4C4A-A5FE-C7C555CCDE97}" name="TCD_BDC_187_N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 chartFormat="3">
  <location ref="AB2:AF5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axis="axisRow" numFmtId="165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numFmtId="165" showAll="0"/>
    <pivotField numFmtId="165" showAll="0">
      <items count="3">
        <item x="0"/>
        <item x="1"/>
        <item t="default"/>
      </items>
    </pivotField>
    <pivotField showAll="0" defaultSubtotal="0"/>
  </pivotFields>
  <rowFields count="1">
    <field x="59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BDC 187" fld="105" baseField="0" baseItem="0"/>
    <dataField name=" BDC 187 régul." fld="106" baseField="0" baseItem="0"/>
    <dataField name=" BDC 187 non régul." fld="107" baseField="0" baseItem="0"/>
    <dataField name="Somme de Commerce" fld="10" baseField="0" baseItem="0"/>
  </dataFields>
  <chartFormats count="4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49A9EF-7625-4F94-B9FA-01D510E1C590}" name="TCD_BDC_SPE_N-1" cacheId="0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FM4:FY11" firstHeaderRow="0" firstDataRow="1" firstDataCol="1"/>
  <pivotFields count="114">
    <pivotField numFmtId="165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axis="axisRow" numFmtId="165" showAll="0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axis="axisRow" showAll="0">
      <items count="2">
        <item x="0"/>
        <item t="default"/>
      </items>
    </pivotField>
    <pivotField dataField="1" showAll="0"/>
    <pivotField dataField="1" showAll="0"/>
    <pivotField dataField="1" showAll="0"/>
    <pivotField axis="axisRow"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>
      <items count="3">
        <item x="0"/>
        <item x="1"/>
        <item t="default"/>
      </items>
    </pivotField>
    <pivotField numFmtId="165" showAll="0"/>
    <pivotField showAll="0" defaultSubtotal="0"/>
  </pivotFields>
  <rowFields count="3">
    <field x="59"/>
    <field x="63"/>
    <field x="67"/>
  </rowFields>
  <rowItems count="7">
    <i>
      <x/>
    </i>
    <i r="1">
      <x/>
    </i>
    <i r="2">
      <x/>
    </i>
    <i>
      <x v="1"/>
    </i>
    <i r="1">
      <x/>
    </i>
    <i r="2"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 Bons de caisse 101" fld="60" baseField="0" baseItem="0"/>
    <dataField name=" 107" fld="61" baseField="0" baseItem="0"/>
    <dataField name=" 184" fld="62" baseField="0" baseItem="0"/>
    <dataField name=" 188" fld="64" baseField="0" baseItem="0"/>
    <dataField name=" 189" fld="65" baseField="0" baseItem="0"/>
    <dataField name=" 190" fld="66" baseField="0" baseItem="0"/>
    <dataField name=" 192" fld="68" baseField="0" baseItem="0"/>
    <dataField name=" 193" fld="69" baseField="0" baseItem="0"/>
    <dataField name=" 194" fld="70" baseField="0" baseItem="0"/>
    <dataField name=" 195" fld="71" baseField="0" baseItem="0"/>
    <dataField name=" 198" fld="72" baseField="0" baseItem="0"/>
    <dataField name=" 199" fld="7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9A2A1CB-38C6-45B2-9B8C-01B241CAA5D3}" name="Tableau9" displayName="Tableau9" ref="B2:D9" totalsRowShown="0" headerRowBorderDxfId="36" tableBorderDxfId="35" totalsRowBorderDxfId="34">
  <autoFilter ref="B2:D9" xr:uid="{7A7F8086-C5B6-4879-8841-0FBD47AFD2A0}"/>
  <tableColumns count="3">
    <tableColumn id="1" xr3:uid="{EE2EADF1-541C-48D3-A932-518C4EBD0D6E}" name="User" dataDxfId="33"/>
    <tableColumn id="2" xr3:uid="{5A172CB3-AE9F-4B9D-B600-3D32FAEB9845}" name="Passework" dataDxfId="32"/>
    <tableColumn id="3" xr3:uid="{0DEB7D93-EFA6-4761-AFB9-33478532CA7F}" name="Role" dataDxfId="31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F5F793-4B99-4FCC-9808-BDB6A5D254FE}" name="Tableau1" displayName="Tableau1" ref="A1:DI3" totalsRowShown="0">
  <autoFilter ref="A1:DI3" xr:uid="{AEE0BE7B-903A-4768-ADD1-E21AECADF794}"/>
  <tableColumns count="113">
    <tableColumn id="1" xr3:uid="{1FD4711E-5E84-4F95-AB17-449E25BAB164}" name="DATE MASSE" dataDxfId="30"/>
    <tableColumn id="2" xr3:uid="{FA0B6325-3CC9-45B6-8BDD-696F0779FF86}" name="MONTANT PERMANENT"/>
    <tableColumn id="3" xr3:uid="{621E6CB3-5CA6-4B96-8D30-0984E580935F}" name="MONTANT PRESALAIRE"/>
    <tableColumn id="4" xr3:uid="{CA0659BD-8322-4314-A263-25BC34D4564A}" name="MONTANT MASSE TOTAL"/>
    <tableColumn id="5" xr3:uid="{1A0DDF84-DAE2-4E2D-9F46-06A62ECEE6E1}" name="Date lot 2" dataDxfId="29"/>
    <tableColumn id="6" xr3:uid="{13505904-551F-4CBE-9C59-290F659543FB}" name="Justice"/>
    <tableColumn id="7" xr3:uid="{E841A59B-68A4-454C-9EBB-98F6B762D519}" name="Intéreur"/>
    <tableColumn id="8" xr3:uid="{FED1ED62-BF5F-444F-B737-7E330C087ED3}" name="Forces de Police Nationale"/>
    <tableColumn id="9" xr3:uid="{40880B32-E3DC-4176-83A0-63F6C58A16D8}" name="Sécurité Pénitentiare"/>
    <tableColumn id="10" xr3:uid="{31B602F6-DE83-4DE9-9EE9-4D3A41674814}" name="Budget/Finances"/>
    <tableColumn id="11" xr3:uid="{AE5CFD75-6E68-4D3A-B113-F6BFE11BE027}" name="Commerce"/>
    <tableColumn id="12" xr3:uid="{56C58881-7060-4DAC-A649-8F83FB1A8192}" name="Economie"/>
    <tableColumn id="13" xr3:uid="{EC0E4A23-9264-4368-B538-8259E9C0652D}" name="Communication"/>
    <tableColumn id="14" xr3:uid="{A7435F46-40E5-4F06-BB95-60368041FB28}" name="Fonction Publique"/>
    <tableColumn id="15" xr3:uid="{327AEA7D-CA01-4331-BD08-BB027F4CCF56}" name="Agriculture"/>
    <tableColumn id="16" xr3:uid="{334EFBC6-9B63-4302-B17E-E21650E00FD7}" name="Total BDC LOT 2"/>
    <tableColumn id="17" xr3:uid="{453E33C9-35F4-4EB4-915D-8AF59E8B6D22}" name="Date lot 1" dataDxfId="28"/>
    <tableColumn id="18" xr3:uid="{D5D44407-A9C2-4E68-B52D-88BDB0402C03}" name="Présidence"/>
    <tableColumn id="19" xr3:uid="{2DE052A4-469A-4F29-BD79-63174FDC5878}" name="Assemblée"/>
    <tableColumn id="20" xr3:uid="{CCC5BE1A-539E-4613-813F-20B374C4E0D4}" name="Contrôle d'Etat"/>
    <tableColumn id="21" xr3:uid="{D77B2F23-B4D2-40C8-A5C9-ED1C418A2937}" name="Sénat"/>
    <tableColumn id="22" xr3:uid="{B5D43A4E-B867-4257-BAE5-185AF6C890E0}" name="Primature"/>
    <tableColumn id="23" xr3:uid="{4A41A3D6-403F-4F98-833C-A8B19AD74125}" name="Relation avec les Assemblées"/>
    <tableColumn id="24" xr3:uid="{BBDA5498-AFD2-458D-9981-65BF1785AF70}" name="Conseil National de la Communication"/>
    <tableColumn id="25" xr3:uid="{3A355B5D-ACF4-43BB-84E4-F826A5FABC44}" name="Affaires Etrangères"/>
    <tableColumn id="26" xr3:uid="{53C39DE8-B9B0-4916-AB14-6ED7BFA0E938}" name="Défense Nationale"/>
    <tableColumn id="27" xr3:uid="{8ADD3893-9247-4514-8AA9-D4682C62D00B}" name="Garde Républicaine"/>
    <tableColumn id="28" xr3:uid="{FDCC5F33-5870-4F29-B0BF-2662695BBDAC}" name="Gendamerie Nationale"/>
    <tableColumn id="29" xr3:uid="{AB97E9B5-B6EB-4EBF-AE1B-428939DC0F12}" name="Forces Terrestres et Navales"/>
    <tableColumn id="30" xr3:uid="{A4143B7C-7B90-4F33-9EE3-E49E6C991B97}" name="Marine Nationale"/>
    <tableColumn id="31" xr3:uid="{F985371D-8B4E-4399-BCB8-A751D3559B32}" name="ALA"/>
    <tableColumn id="32" xr3:uid="{0B25C014-535A-4FFF-B8EC-B78D691F1DDB}" name="Forces Armées Gabonaises"/>
    <tableColumn id="33" xr3:uid="{0FC37440-9FE1-487B-8215-E3CF79ACAFC5}" name="Bataillon des Sapeurs-Pompiers"/>
    <tableColumn id="34" xr3:uid="{7C4EB041-48FA-410D-8062-3470089378A5}" name="Cour Constitutionnelle"/>
    <tableColumn id="35" xr3:uid="{CCB40975-8BE2-42A8-856B-37F07D22D4A7}" name="Total LOT 1"/>
    <tableColumn id="36" xr3:uid="{794920EE-53A8-4972-9759-ACF9490DFBD9}" name="Date LOT 3" dataDxfId="27"/>
    <tableColumn id="37" xr3:uid="{59D78CCB-C429-47AB-9152-E4BEABE06482}" name="Hauts Fonctionnaires"/>
    <tableColumn id="38" xr3:uid="{5390783D-2EED-4C0B-8523-A08723D44A54}" name="Eaux et Forêts"/>
    <tableColumn id="39" xr3:uid="{759C6452-DE22-4DE4-9284-256F054187FC}" name="Mines et Energie"/>
    <tableColumn id="40" xr3:uid="{CA8B7B54-FEC1-44CF-A265-5CB293A3BCA7}" name="Pétrole et Hydrocarbures"/>
    <tableColumn id="41" xr3:uid="{1900406B-3E87-4738-A217-F107E79E7C99}" name="Travaux Publics Equipement et Construction"/>
    <tableColumn id="42" xr3:uid="{51D8A9AC-D6A8-4DAF-B2FD-DC702F329AF1}" name="Habitat et Cadastre"/>
    <tableColumn id="43" xr3:uid="{E33B7136-DCD6-4B82-B69F-BED3198C0350}" name="Domaine"/>
    <tableColumn id="44" xr3:uid="{49ED88B9-8842-4D5A-9EA2-8765EB8319A8}" name="Transport"/>
    <tableColumn id="45" xr3:uid="{15B77FA8-8ED3-4E95-A09E-8AA2694411CA}" name="Marine Marchande"/>
    <tableColumn id="46" xr3:uid="{2605CCAA-140F-4533-967C-413AFA3E2D43}" name="Total LOT 3"/>
    <tableColumn id="47" xr3:uid="{EC421D96-88CB-4F78-AECC-5A68DE61A0DE}" name="Date LOT 4" dataDxfId="26"/>
    <tableColumn id="48" xr3:uid="{771A4E6B-8D4C-4A94-8AA9-16A5410FC4B3}" name="Education Nationale 1"/>
    <tableColumn id="49" xr3:uid="{4B602BF8-9838-4942-9948-0F0F1A2F1C54}" name="Education Nationale 2"/>
    <tableColumn id="50" xr3:uid="{4D54B63C-EE43-4046-AC2F-53C96158AF48}" name="Formation Professionnelle"/>
    <tableColumn id="51" xr3:uid="{8A5A1B8D-68F4-48C2-BBB7-C6EBE4FD8400}" name="Jeunesse et Sports"/>
    <tableColumn id="52" xr3:uid="{BD7145CA-46C5-4103-A11C-B41ACC39DD82}" name="Enseignement Supérieur"/>
    <tableColumn id="53" xr3:uid="{A9224923-7F9B-46BB-830F-DE16B807F891}" name="Culture et Arts"/>
    <tableColumn id="54" xr3:uid="{A0944CA6-D4A9-45E2-B2CD-8B1DBE29CECB}" name="Recherche Scientifique"/>
    <tableColumn id="55" xr3:uid="{89A66AED-A860-424A-9B82-6FD6E171D1D8}" name="Santé Publique"/>
    <tableColumn id="56" xr3:uid="{39F66A48-7B4D-4D74-B092-2695650D7867}" name="Travail et Emploi"/>
    <tableColumn id="57" xr3:uid="{896D5E02-35BA-4E0D-BAFA-CA0ADA8DEF11}" name="Affaire Sociales"/>
    <tableColumn id="58" xr3:uid="{AC659629-E479-4EFD-85F6-BEF9D6B183BC}" name="Stages"/>
    <tableColumn id="59" xr3:uid="{27F0C1FF-6B11-4E8C-B4F7-D8153F8E9A6C}" name="Total LOT 4"/>
    <tableColumn id="60" xr3:uid="{C2218046-D1FF-4C8F-A0F9-9330A244F326}" name="Date LOT 5" dataDxfId="25"/>
    <tableColumn id="61" xr3:uid="{99DB3979-BFC5-46FC-B0A8-0695BB36BA14}" name="Bons de caisse 101"/>
    <tableColumn id="62" xr3:uid="{E2F3300B-8B0F-41AA-9220-F018419F844B}" name="107"/>
    <tableColumn id="63" xr3:uid="{0BB58089-DFB5-46FE-A2B5-78A5A00396E2}" name="184"/>
    <tableColumn id="64" xr3:uid="{4D5458B7-7D3B-4BFB-A8AA-779C326AF239}" name="187"/>
    <tableColumn id="65" xr3:uid="{FAB2E09D-0711-4D49-B37C-10A76D3C96FB}" name="188"/>
    <tableColumn id="66" xr3:uid="{5088BAD4-C488-45A0-AED8-1B9E37E9D27C}" name="189"/>
    <tableColumn id="67" xr3:uid="{147FA2F4-FDA8-4B54-8541-3BA750974D66}" name="190"/>
    <tableColumn id="68" xr3:uid="{C3B3666B-46BA-40B5-BE6B-423D3D2DC55B}" name="191"/>
    <tableColumn id="69" xr3:uid="{E57487FA-3150-4435-9B39-F12640F86D31}" name="192"/>
    <tableColumn id="70" xr3:uid="{B84F6335-05F0-42A8-BD46-0F16BABE7D8A}" name="193"/>
    <tableColumn id="71" xr3:uid="{CD87B888-DD49-429E-9186-3F12599B931A}" name="194"/>
    <tableColumn id="72" xr3:uid="{97E7922D-BFAA-4240-AD8A-DE6FC99B824B}" name="195"/>
    <tableColumn id="73" xr3:uid="{6C5EA2EE-BE0E-4701-BA4B-485B13D9EC85}" name="198"/>
    <tableColumn id="74" xr3:uid="{8EC02F29-F4AC-48C4-943D-D681A34D3461}" name="199"/>
    <tableColumn id="75" xr3:uid="{C164C546-428F-4522-8961-6CDDC2F6CFFC}" name="Total BDC SPE. LOT 5"/>
    <tableColumn id="76" xr3:uid="{736BA164-39D2-4246-ADBC-BE8F35FA82B4}" name="Date LOT 6" dataDxfId="24"/>
    <tableColumn id="77" xr3:uid="{DFD460AC-4D37-4589-93AF-6EAE84E748D0}" name="Education   Nationale 1"/>
    <tableColumn id="78" xr3:uid="{8818DD7F-2913-438A-B227-BC5CD2B37663}" name="Education   Nationale 2"/>
    <tableColumn id="79" xr3:uid="{B576C189-589E-475A-B402-C5F365215D95}" name="Education   Nationale 3"/>
    <tableColumn id="80" xr3:uid="{55DAAA3B-ED90-4AE4-98F5-E7ACA459DABE}" name="Education   Nationale 4"/>
    <tableColumn id="81" xr3:uid="{9A863E03-2037-4F6A-BF00-62EC1E7FD8FA}" name="Jeunesse et Sports2"/>
    <tableColumn id="82" xr3:uid="{59852EC7-D009-459E-B9A6-1685149871A9}" name="Enseignement Supérieur3"/>
    <tableColumn id="83" xr3:uid="{98CDD6DF-1251-43E4-8221-B30B55E81E2D}" name="Santé Publique4"/>
    <tableColumn id="84" xr3:uid="{B3EACF6C-C4F9-4CAF-9F55-18B7ACC12683}" name="Fonction Publique5"/>
    <tableColumn id="85" xr3:uid="{586CC75A-A415-4764-8E0A-3A7C062D9884}" name="Recherche Scientifique6"/>
    <tableColumn id="86" xr3:uid="{2496042B-9A91-441F-BBA9-CF516D957130}" name="Eaux et Forêts7"/>
    <tableColumn id="87" xr3:uid="{5BD66EC9-9B77-449D-9E7C-CAD9CBF9475C}" name="Eaux et Energie"/>
    <tableColumn id="88" xr3:uid="{03394CAD-AC80-423C-BB55-717299A288CD}" name="Mines"/>
    <tableColumn id="89" xr3:uid="{45669ECE-6192-43B9-A730-E759EFE2824E}" name="Commerce8"/>
    <tableColumn id="90" xr3:uid="{274B1C3F-50AC-4F1C-B3EE-77E8BB41DA7A}" name="Douanes"/>
    <tableColumn id="91" xr3:uid="{488F20DD-392C-4527-9FCF-4A90C471CBB9}" name="Tresor"/>
    <tableColumn id="92" xr3:uid="{2512BBE2-12BC-48E3-9D25-209EE284CEF9}" name="DGCPT"/>
    <tableColumn id="93" xr3:uid="{E28933B6-BE70-40FF-9DF2-35CC2A06435E}" name="DGCC"/>
    <tableColumn id="94" xr3:uid="{A9DBEA2C-0562-4196-AAE8-8652A8845F23}" name="Economie9"/>
    <tableColumn id="95" xr3:uid="{85B8757B-10D9-4C9A-9C1B-2C44398525E6}" name="Impots"/>
    <tableColumn id="96" xr3:uid="{CC9498DD-E53A-47CD-97FD-BE98039520C5}" name="DG Budget"/>
    <tableColumn id="97" xr3:uid="{CA7E4715-6F8A-4CDC-A69C-4FA910D7037C}" name="Direction de la solde"/>
    <tableColumn id="98" xr3:uid="{4072104D-66BA-40FC-AC37-67FA56158434}" name="DG Economie"/>
    <tableColumn id="99" xr3:uid="{5F975E3A-7C86-4FA9-A9E4-5C3CB52EF308}" name="Coopération   Cubaine bdc 188"/>
    <tableColumn id="100" xr3:uid="{5C072769-8C93-42B4-A344-190230DD5DF7}" name="178"/>
    <tableColumn id="101" xr3:uid="{4753702D-5AD6-4419-B3D2-D7161EF5CA20}" name="184."/>
    <tableColumn id="102" xr3:uid="{12E07237-6478-4346-B485-1186CBA129F7}" name="187."/>
    <tableColumn id="103" xr3:uid="{EFF03BC0-34E3-49B1-A7E7-43E37D5F34F0}" name="190."/>
    <tableColumn id="104" xr3:uid="{0CB6C182-8FC6-4DF4-97D2-FFA4A198E8ED}" name="193."/>
    <tableColumn id="105" xr3:uid="{B01B8159-D540-47D6-B8B1-F3934A84C8B4}" name="Total PRES. LOT 6"/>
    <tableColumn id="106" xr3:uid="{6B1AD362-6274-4C98-B3F5-278C4CA56BE4}" name="BDC 187"/>
    <tableColumn id="107" xr3:uid="{84D7C018-C6F3-470D-959D-AAC7E96699DF}" name="BDC 187 régul."/>
    <tableColumn id="108" xr3:uid="{C024EBE6-C792-4047-AABC-418C9DC7ED88}" name="BDC 187 non régul."/>
    <tableColumn id="109" xr3:uid="{0478FA5D-FC7E-4F8F-8723-C72EEA7266F5}" name="BDC 191"/>
    <tableColumn id="110" xr3:uid="{3AA99C3B-16D8-4632-9995-23F905378289}" name="BDC 191 régul"/>
    <tableColumn id="111" xr3:uid="{7B0AE7EC-FC95-4B87-9959-4D7D3DF7D045}" name="BDC 191 non régul."/>
    <tableColumn id="112" xr3:uid="{750445C5-D59A-4812-B94A-3E1DC5717DAC}" name="DATE PERIODE (N-1)" dataDxfId="23"/>
    <tableColumn id="113" xr3:uid="{2BF9FF76-1B4A-4BB1-B18D-3BD1D66E4C8E}" name="DATE PERIODE (N)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DAF51C-474B-4D66-A4D2-784AE755E552}" name="Tableau5" displayName="Tableau5" ref="EV4:EW51" totalsRowShown="0">
  <autoFilter ref="EV4:EW51" xr:uid="{F4B413B8-6D43-406E-B459-3412CE0F3A7A}"/>
  <sortState ref="EV5:EW51">
    <sortCondition descending="1" ref="EW4:EW51"/>
  </sortState>
  <tableColumns count="2">
    <tableColumn id="1" xr3:uid="{7BFB44CC-41BF-4F64-9848-5E5A35759700}" name="Administrati"/>
    <tableColumn id="2" xr3:uid="{FC63968F-B194-4860-A2CC-4FE42B023114}" name="BDC PERIODE (N-1)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62BA8F-9EC5-429C-9FAB-FF38E960A078}" name="Tableau6" displayName="Tableau6" ref="EQ4:ER51" totalsRowShown="0">
  <autoFilter ref="EQ4:ER51" xr:uid="{A897CE9A-271E-4296-97C3-FD53C80779DC}"/>
  <sortState ref="EQ5:ER51">
    <sortCondition descending="1" ref="ER4:ER51"/>
  </sortState>
  <tableColumns count="2">
    <tableColumn id="1" xr3:uid="{EB09E106-D148-4B82-9A4B-82CA2B3ADE87}" name="Administration"/>
    <tableColumn id="2" xr3:uid="{C6E05B54-EF30-478E-8A5E-19A99DB0148B}" name="BDC PERIODE (N)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129547-0588-4174-9AB2-32045BDF2504}" name="Tableau2" displayName="Tableau2" ref="GA4:GB16" totalsRowShown="0">
  <autoFilter ref="GA4:GB16" xr:uid="{A39DB4AB-D354-4C10-851D-5F18FBE87897}"/>
  <sortState ref="GA5:GB16">
    <sortCondition descending="1" ref="GB4:GB16"/>
  </sortState>
  <tableColumns count="2">
    <tableColumn id="1" xr3:uid="{0DE23730-2EAC-4407-8BEC-0C7F1D9F841E}" name="MDR" dataDxfId="21"/>
    <tableColumn id="2" xr3:uid="{F397B063-3A83-4B7B-9A7E-CFEF3D74913F}" name="BDC EN N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44EAC2-90F7-4EF0-8A44-0816F3DB8FC5}" name="Tableau3" displayName="Tableau3" ref="GD4:GE16" totalsRowShown="0">
  <autoFilter ref="GD4:GE16" xr:uid="{D1600B7B-0F41-4F83-AF73-2AE33AD0C063}"/>
  <sortState ref="GD5:GE16">
    <sortCondition descending="1" ref="GE4:GE16"/>
  </sortState>
  <tableColumns count="2">
    <tableColumn id="1" xr3:uid="{31F07A95-0851-4E50-ACDF-ED1657C87475}" name="MDR" dataDxfId="20"/>
    <tableColumn id="2" xr3:uid="{E1C1CB91-1535-44ED-8CFE-C89554ECD5F4}" name="BDC EN N-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FC5BCD9-A834-429D-BF00-989434D296A0}" name="Tableau4" displayName="Tableau4" ref="IP3:IQ30" totalsRowShown="0">
  <autoFilter ref="IP3:IQ30" xr:uid="{C882B315-913D-4A80-B67C-FAB475946C64}"/>
  <sortState ref="IP4:IQ30">
    <sortCondition descending="1" ref="IQ3:IQ30"/>
  </sortState>
  <tableColumns count="2">
    <tableColumn id="1" xr3:uid="{598F4321-F61C-458C-A0F0-E4B4F05A0F00}" name="Administrations/MDR"/>
    <tableColumn id="2" xr3:uid="{A770DE53-E169-4EFC-B3A1-28C1F66BF52E}" name="Total bdc en  N-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90C76CE-1855-4F12-A95D-A209A186096E}" name="Tableau7" displayName="Tableau7" ref="IM3:IN30" totalsRowShown="0">
  <autoFilter ref="IM3:IN30" xr:uid="{253F6439-2E1D-47A5-9A8A-232A6A5C71B3}"/>
  <sortState ref="IM4:IN30">
    <sortCondition descending="1" ref="IN3:IN30"/>
  </sortState>
  <tableColumns count="2">
    <tableColumn id="1" xr3:uid="{FDEA2216-8C22-411E-AFF7-2A5654887AF3}" name="Administrations/MDR"/>
    <tableColumn id="2" xr3:uid="{0D816F3B-4834-4157-B295-4C6CBD4B31CF}" name="Total bdc en  N"/>
  </tableColumns>
  <tableStyleInfo name="TableStyleMedium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156955-3650-4D8F-87B7-160B9B5A2147}" name="T_HISTORIQUE_MASSE" displayName="T_HISTORIQUE_MASSE" ref="A1:DI3" totalsRowShown="0" headerRowDxfId="19" headerRowBorderDxfId="18" tableBorderDxfId="17">
  <autoFilter ref="A1:DI3" xr:uid="{42A8EF96-0BA2-47B7-B7EF-018A4547F7B4}"/>
  <tableColumns count="113">
    <tableColumn id="1" xr3:uid="{1D631098-B96C-4401-8322-B4B5B3A09D9B}" name="DATE MASSE" dataDxfId="16"/>
    <tableColumn id="3" xr3:uid="{1A805188-F8D7-4D1E-94BE-2C1BE49753AA}" name="MONTANT PERMANENT"/>
    <tableColumn id="5" xr3:uid="{D0DC050A-FC04-46F8-89F3-B21F7E67AEB2}" name="MONTANT PRESALAIRE"/>
    <tableColumn id="7" xr3:uid="{A0D1697C-7E81-45FE-9C53-470DDE3E4401}" name="MONTANT MASSE TOTAL"/>
    <tableColumn id="15" xr3:uid="{0F1AAF10-E57A-4FC0-A535-A1E043445FBE}" name="Date lot 2" dataDxfId="15"/>
    <tableColumn id="2" xr3:uid="{2D842F5C-ED45-4D69-A54D-CDD4E71CE5C1}" name="Justice"/>
    <tableColumn id="4" xr3:uid="{C5D5E65F-051D-4ACF-AFAE-E9ECF3BD06FE}" name="Intéreur"/>
    <tableColumn id="6" xr3:uid="{D9C8DEBA-60A3-40DB-B8AC-8C729B837A60}" name="Forces de Police Nationale"/>
    <tableColumn id="8" xr3:uid="{7D41FFDA-6304-4369-8947-E4701422A0AC}" name="Sécurité Pénitentiare"/>
    <tableColumn id="9" xr3:uid="{F6D5A758-2E2A-4DEE-BE4A-F159D36D7E97}" name="Budget/Finances"/>
    <tableColumn id="10" xr3:uid="{347F0347-E8AD-4B38-A245-1B937A7601AD}" name="Commerce"/>
    <tableColumn id="11" xr3:uid="{5445C31F-5F14-4F06-A87A-6B989C0AB288}" name="Economie"/>
    <tableColumn id="12" xr3:uid="{7516560B-A335-4C8C-ACE6-D2FF18B75D82}" name="Communication"/>
    <tableColumn id="13" xr3:uid="{487006C1-33E1-41BF-B596-8DF741C28240}" name="Fonction Publique"/>
    <tableColumn id="14" xr3:uid="{4CC04342-4056-4A20-973A-4F4A746B9A89}" name="Agriculture"/>
    <tableColumn id="16" xr3:uid="{64D33F8E-482D-4F03-8D6C-137818374F28}" name="Total BDC LOT 2" dataDxfId="14">
      <calculatedColumnFormula>SUM(T_HISTORIQUE_MASSE[[#This Row],[Justice]:[Agriculture]])</calculatedColumnFormula>
    </tableColumn>
    <tableColumn id="17" xr3:uid="{44EBA4AC-A030-4821-A89D-F46122EA55F6}" name="Date lot 1" dataDxfId="13"/>
    <tableColumn id="18" xr3:uid="{DB9737A0-4E51-415B-83C8-242D668A3D88}" name="Présidence"/>
    <tableColumn id="19" xr3:uid="{F4E666F9-60B3-4998-BC77-A7E4932EE92E}" name="Assemblée"/>
    <tableColumn id="20" xr3:uid="{7A732D67-799B-448F-9008-CDB712C2EE72}" name="Contrôle d'Etat"/>
    <tableColumn id="21" xr3:uid="{686F6AAD-5697-446D-8424-796EA66C4957}" name="Sénat"/>
    <tableColumn id="22" xr3:uid="{12B66424-6D2D-423A-9E63-2C7EFEA2595E}" name="Primature"/>
    <tableColumn id="23" xr3:uid="{7B47E816-2A94-4B0B-89B8-FAB42CF2DAA3}" name="Relation avec les Assemblées"/>
    <tableColumn id="24" xr3:uid="{E067E499-EC38-495B-8E8A-E43BCBB8ED2C}" name="Conseil National de la Communication"/>
    <tableColumn id="25" xr3:uid="{421E2CA9-4D6C-434C-8658-1CD183403C24}" name="Affaires Etrangères"/>
    <tableColumn id="26" xr3:uid="{4FA56480-598E-466D-86BE-10F265FA43E1}" name="Défense Nationale"/>
    <tableColumn id="27" xr3:uid="{065055E8-EDC0-4B59-A131-FAD403FA5678}" name="Garde Républicaine"/>
    <tableColumn id="28" xr3:uid="{4DB7509E-1159-40DC-B462-3B0A140E2BDF}" name="Gendamerie Nationale"/>
    <tableColumn id="29" xr3:uid="{DE8EE1F0-7F1A-46B4-B1B0-95526D9B8454}" name="Forces Terrestres et Navales"/>
    <tableColumn id="30" xr3:uid="{C2F59434-4149-4CED-BCEF-58424B3A332A}" name="Marine Nationale"/>
    <tableColumn id="31" xr3:uid="{A1EF9837-9FEC-4AED-9281-15FF59BEAC89}" name="ALA"/>
    <tableColumn id="32" xr3:uid="{E88E7305-DFA5-44EA-8E0C-26F7679B8225}" name="Forces Armées Gabonaises"/>
    <tableColumn id="33" xr3:uid="{9C5C4036-7249-4472-AE40-A2996B8A6B4F}" name="Bataillon des Sapeurs-Pompiers"/>
    <tableColumn id="34" xr3:uid="{9A1FABF1-1BE9-4A87-9983-C68AAA25469F}" name="Cour Constitutionnelle"/>
    <tableColumn id="35" xr3:uid="{ADD261C6-B971-4737-82E5-A8D10A053641}" name="Total LOT 1" dataDxfId="12">
      <calculatedColumnFormula>SUM(T_HISTORIQUE_MASSE[[#This Row],[Présidence]:[Cour Constitutionnelle]])</calculatedColumnFormula>
    </tableColumn>
    <tableColumn id="36" xr3:uid="{23DD7797-FD77-44AB-BD95-301F992D5605}" name="Date LOT 3" dataDxfId="11"/>
    <tableColumn id="37" xr3:uid="{EC38ED3E-EF6B-466A-9468-3796D8DD71E6}" name="Hauts Fonctionnaires"/>
    <tableColumn id="38" xr3:uid="{EEF34638-7F3A-4A30-A15D-0E20B0252BD8}" name="Eaux et Forêts"/>
    <tableColumn id="39" xr3:uid="{6266B226-549D-44BD-A308-496AABD9B4CD}" name="Mines et Energie"/>
    <tableColumn id="40" xr3:uid="{28E23C7C-D306-4A51-A3F4-670B58FCF548}" name="Pétrole et Hydrocarbures"/>
    <tableColumn id="41" xr3:uid="{F1295425-C3ED-4721-B49E-044E423755C6}" name="Travaux Publics Equipement et Construction"/>
    <tableColumn id="42" xr3:uid="{E55222C9-E8E9-4979-B74F-37B5A8612217}" name="Habitat et Cadastre"/>
    <tableColumn id="43" xr3:uid="{9F67A55E-7265-4280-B98C-3CC817E9CB97}" name="Domaine"/>
    <tableColumn id="44" xr3:uid="{34601F80-5F1C-4807-BA9B-6FAC4E5E1732}" name="Transport"/>
    <tableColumn id="45" xr3:uid="{6EE224E4-287E-4E42-953A-B84912EB8790}" name="Marine Marchande"/>
    <tableColumn id="46" xr3:uid="{860474D0-93CE-4B08-A37B-E6B44F3948F5}" name="Total LOT 3" dataDxfId="10">
      <calculatedColumnFormula>SUM(T_HISTORIQUE_MASSE[[#This Row],[Hauts Fonctionnaires]:[Marine Marchande]])</calculatedColumnFormula>
    </tableColumn>
    <tableColumn id="47" xr3:uid="{B808E4A8-AB01-4118-8F18-86866798EEE1}" name="Date LOT 4" dataDxfId="9"/>
    <tableColumn id="48" xr3:uid="{D92DE656-686E-44D0-B7F4-7F77F08CE814}" name="Education Nationale 1"/>
    <tableColumn id="49" xr3:uid="{27B4450C-9025-459A-A577-719C9BE323E0}" name="Education Nationale 2"/>
    <tableColumn id="50" xr3:uid="{8AB79B61-7679-4E5F-A713-840CC36527FC}" name="Formation Professionnelle"/>
    <tableColumn id="51" xr3:uid="{1CC35233-00E3-4BA9-BEF1-872C3B8FE809}" name="Jeunesse et Sports"/>
    <tableColumn id="52" xr3:uid="{3867E279-6531-46E7-B119-EABA1A773DEE}" name="Enseignement Supérieur"/>
    <tableColumn id="53" xr3:uid="{2DC98401-9C5B-4022-BFE2-6923EC111195}" name="Culture et Arts"/>
    <tableColumn id="54" xr3:uid="{09387C10-8D4F-492F-BE1C-484E90E50BA8}" name="Recherche Scientifique"/>
    <tableColumn id="55" xr3:uid="{33D11DE3-7C22-4BE0-9803-58FAF2206823}" name="Santé Publique"/>
    <tableColumn id="56" xr3:uid="{CA5FDB57-389F-40CD-BEEB-867E771188D4}" name="Travail et Emploi"/>
    <tableColumn id="57" xr3:uid="{C0050CA7-4046-4E59-ABC5-2A8894A9FFD1}" name="Affaire Sociales"/>
    <tableColumn id="58" xr3:uid="{218AF467-B372-4628-8513-3D73FE15667B}" name="Stages"/>
    <tableColumn id="59" xr3:uid="{7918BB5A-C174-4338-A37D-B234FF92B2BE}" name="Total LOT 4" dataDxfId="8">
      <calculatedColumnFormula>SUM(T_HISTORIQUE_MASSE[[#This Row],[Education Nationale 1]:[Stages]])</calculatedColumnFormula>
    </tableColumn>
    <tableColumn id="60" xr3:uid="{5926DD8B-9193-4A8C-8692-38640B1CF867}" name="Date LOT 5" dataDxfId="7"/>
    <tableColumn id="61" xr3:uid="{74FCEDFE-3D23-4E00-BDBD-F00B0754CAC6}" name="Bons de caisse 101"/>
    <tableColumn id="62" xr3:uid="{69E2A768-C62E-4A92-82F6-DDD75D988E26}" name="107"/>
    <tableColumn id="63" xr3:uid="{825AF492-A153-4890-964F-AE451FE84461}" name="184"/>
    <tableColumn id="64" xr3:uid="{32B0362C-812F-408D-9358-D773E838660D}" name="187"/>
    <tableColumn id="65" xr3:uid="{1BF75B76-3A3B-4F92-B7A5-57C9D3520E88}" name="188"/>
    <tableColumn id="66" xr3:uid="{5A7F2EA3-5DD6-452A-AE45-D70071C361C1}" name="189"/>
    <tableColumn id="67" xr3:uid="{BA301463-F678-4637-922B-2A11761958FF}" name="190"/>
    <tableColumn id="68" xr3:uid="{6928B3C1-5810-4087-A2F9-1C27C7759BCB}" name="191"/>
    <tableColumn id="69" xr3:uid="{F53C6FD0-D2C4-4EC7-A2A7-651A78900D65}" name="192"/>
    <tableColumn id="70" xr3:uid="{17CB768D-ED7D-425E-AD56-43F12248E78F}" name="193"/>
    <tableColumn id="71" xr3:uid="{82DD73F8-3CFA-42BB-90FB-620142C46F8E}" name="194"/>
    <tableColumn id="72" xr3:uid="{89069DB4-CA68-459D-B5BF-744BCC226FD0}" name="195"/>
    <tableColumn id="73" xr3:uid="{94334518-333B-4EB2-B39C-7C93ED0BD1C8}" name="198"/>
    <tableColumn id="74" xr3:uid="{A1F710F2-2868-4B9F-B612-E4BF7B90FA60}" name="199"/>
    <tableColumn id="75" xr3:uid="{4E629B72-7BA0-44A2-971E-25CC440E6C5D}" name="Total BDC SPE. LOT 5" dataDxfId="6">
      <calculatedColumnFormula>SUM(T_HISTORIQUE_MASSE[[#This Row],[Bons de caisse 101]:[199]])</calculatedColumnFormula>
    </tableColumn>
    <tableColumn id="76" xr3:uid="{DF440AE8-3911-4EF7-B69C-5588F842620F}" name="Date LOT 6" dataDxfId="5"/>
    <tableColumn id="77" xr3:uid="{95757DCA-2ED8-4BAF-A718-236BCA7FD545}" name="Education   Nationale 1"/>
    <tableColumn id="78" xr3:uid="{A3511BFC-CC5F-444B-ADB4-F9D47D353638}" name="Education   Nationale 2"/>
    <tableColumn id="79" xr3:uid="{C5D1F14F-5368-4CA6-8ACB-B984A8571DA5}" name="Education   Nationale 3"/>
    <tableColumn id="80" xr3:uid="{8D8B15BA-ED80-4046-97FB-7C292828437A}" name="Education   Nationale 4"/>
    <tableColumn id="81" xr3:uid="{C1D8A3DF-225D-4C67-A42F-F8DBDA263104}" name="Jeunesse et Sports2"/>
    <tableColumn id="82" xr3:uid="{D4212605-092F-4A71-B75A-30EDFE95B47A}" name="Enseignement Supérieur3"/>
    <tableColumn id="83" xr3:uid="{1DE37A21-A873-4EE4-BCF5-901027CC112D}" name="Santé Publique4"/>
    <tableColumn id="84" xr3:uid="{B15CA834-742B-4686-980F-39703B39E481}" name="Fonction Publique5"/>
    <tableColumn id="85" xr3:uid="{3B876B67-8453-4F35-A6C0-993C0664F8FF}" name="Recherche Scientifique6"/>
    <tableColumn id="86" xr3:uid="{AEF61320-63AF-4E3E-8AAF-5364F9614B05}" name="Eaux et Forêts7"/>
    <tableColumn id="87" xr3:uid="{0C0ABB54-377D-451E-AA7C-DED7003AC5B8}" name="Eaux et Energie"/>
    <tableColumn id="88" xr3:uid="{47D5F3DC-6E22-4325-BC49-67D778DD4499}" name="Mines"/>
    <tableColumn id="89" xr3:uid="{6D143998-3179-43D6-B704-AF66CC638869}" name="Commerce8"/>
    <tableColumn id="90" xr3:uid="{056B2343-79A3-422A-B6DF-94362ECEC6FD}" name="Douanes"/>
    <tableColumn id="91" xr3:uid="{F39E08F7-9204-484D-8CD3-8DBD224C27CA}" name="Tresor"/>
    <tableColumn id="92" xr3:uid="{0E772A02-D069-4B26-AF37-5D4A47CA46F6}" name="DGCPT"/>
    <tableColumn id="93" xr3:uid="{6E1C9E2B-7E83-4B21-8F57-FCAA45A63BC2}" name="DGCC"/>
    <tableColumn id="94" xr3:uid="{7D8329E1-6406-4116-8070-818E1D4AB41D}" name="Economie9"/>
    <tableColumn id="95" xr3:uid="{87B66FBD-0630-4543-8E96-5A71F36498EF}" name="Impots"/>
    <tableColumn id="96" xr3:uid="{12A488B6-2FB7-445F-AD34-E900E5B454AC}" name="DG Budget"/>
    <tableColumn id="97" xr3:uid="{64A21F37-7022-4D52-8071-203C0B7A2BCE}" name="Direction de la solde"/>
    <tableColumn id="98" xr3:uid="{7B3666CD-D3CE-4333-B877-37265BB3B8C0}" name="DG Economie"/>
    <tableColumn id="99" xr3:uid="{0E53D0BE-03FB-4E6D-887F-94EF2F70AF27}" name="Coopération   Cubaine bdc 188"/>
    <tableColumn id="100" xr3:uid="{81CE8A72-A3A6-4D17-86CA-1AE4401C61AB}" name="178"/>
    <tableColumn id="101" xr3:uid="{7916D3BA-4433-458D-883F-D743554EF67C}" name="184."/>
    <tableColumn id="102" xr3:uid="{59BE0309-7E9C-4312-A8E5-6606CAB07199}" name="187."/>
    <tableColumn id="103" xr3:uid="{0AF0D450-3E13-43DC-9234-CA05E111D094}" name="190."/>
    <tableColumn id="104" xr3:uid="{003C0B5F-FE9B-49D3-8CDD-47DB7632F6A7}" name="193."/>
    <tableColumn id="105" xr3:uid="{20319230-FC02-4B2E-B5A6-BA3321255F41}" name="Total PRES. LOT 6" dataDxfId="4">
      <calculatedColumnFormula>SUM(T_HISTORIQUE_MASSE[[#This Row],[Education   Nationale 1]:[193.]])</calculatedColumnFormula>
    </tableColumn>
    <tableColumn id="106" xr3:uid="{CAB29BDD-C768-434D-91C2-F9355DB749BD}" name="BDC 187"/>
    <tableColumn id="107" xr3:uid="{7BCAD587-B055-4E34-B6D3-B43B8365E6D3}" name="BDC 187 régul."/>
    <tableColumn id="108" xr3:uid="{89F37284-E82F-4881-89D4-AF07E9E8A613}" name="BDC 187 non régul." dataDxfId="3">
      <calculatedColumnFormula>T_HISTORIQUE_MASSE[[#This Row],[BDC 187]]-T_HISTORIQUE_MASSE[[#This Row],[BDC 187 régul.]]</calculatedColumnFormula>
    </tableColumn>
    <tableColumn id="109" xr3:uid="{1DFE04D4-CA2B-48C2-9143-808D39940594}" name="BDC 191"/>
    <tableColumn id="110" xr3:uid="{7F9CCD1E-7BDD-4CD9-995A-76EA5EA65FCE}" name="BDC 191 régul"/>
    <tableColumn id="111" xr3:uid="{3F651072-EF51-41C3-BE7F-63427A891818}" name="BDC 191 non régul." dataDxfId="2">
      <calculatedColumnFormula>T_HISTORIQUE_MASSE[[#This Row],[BDC 191]]-T_HISTORIQUE_MASSE[[#This Row],[BDC 191 régul]]</calculatedColumnFormula>
    </tableColumn>
    <tableColumn id="112" xr3:uid="{D47B1933-2CE6-415F-9338-FC0B1DCC8C8C}" name="DATE PERIODE (N-1)" dataDxfId="1"/>
    <tableColumn id="113" xr3:uid="{D6E214B1-BDB6-4B05-8E11-F72B9B0F73D1}" name="DATE PERIODE (N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_PERIODE__N_1" xr10:uid="{DD0ADD1B-FAEE-4DC5-9B06-AB93DE32687C}" sourceName="DATE PERIODE (N-1)">
  <pivotTables>
    <pivotTable tabId="22" name="TCD_LOT_N-1"/>
    <pivotTable tabId="22" name="TCD_MASSE_N-1"/>
    <pivotTable tabId="22" name="TCD_BDC_187_N-1"/>
    <pivotTable tabId="22" name="TCD_BDC_191_N-1"/>
    <pivotTable tabId="22" name="TCD_GLOBAL_N-1"/>
    <pivotTable tabId="22" name="TCD_BDC_SPE_N-1"/>
    <pivotTable tabId="22" name="TCD_BDC_PRES_N-1"/>
  </pivotTables>
  <state minimalRefreshVersion="6" lastRefreshVersion="6" pivotCacheId="148537081" filterType="unknown">
    <bounds startDate="2019-01-01T00:00:00" endDate="2020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_PERIODE__N" xr10:uid="{1A4A5667-AA31-4E79-8E33-BC1ECE2A66A4}" sourceName="DATE PERIODE (N)">
  <pivotTables>
    <pivotTable tabId="22" name="TCD_LOT_N"/>
    <pivotTable tabId="22" name="TCD_MASSE_N"/>
    <pivotTable tabId="22" name="TCD_BDC_187_N"/>
    <pivotTable tabId="22" name="TCD_BDC_191_N"/>
    <pivotTable tabId="22" name="TCD_BDC100_N"/>
    <pivotTable tabId="22" name="TCD_BDC_SPE_N"/>
    <pivotTable tabId="22" name="TCD_BDC_PRES_N"/>
  </pivotTables>
  <state minimalRefreshVersion="6" lastRefreshVersion="6" pivotCacheId="148537081" filterType="unknown">
    <bounds startDate="2019-01-01T00:00:00" endDate="2020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PERIODE (N-1)" xr10:uid="{E24CAE80-8F29-4B3D-97D3-4BCAB2506389}" cache="ChronologieNative_DATE_PERIODE__N_1" caption="DATE PERIODE (N-1)" level="2" selectionLevel="2" scrollPosition="2019-01-01T00:00:00" style="TimeSlicerStyleDark5"/>
  <timeline name="DATE PERIODE (N)" xr10:uid="{402B1FC0-16D2-4D0A-A5BB-83FB257F3AED}" cache="ChronologieNative_DATE_PERIODE__N" caption="DATE PERIODE (N)" level="2" selectionLevel="2" scrollPosition="2019-01-01T00:00:00" style="TimeSlicerStyleDark6"/>
</timeline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4.xml"/><Relationship Id="rId3" Type="http://schemas.openxmlformats.org/officeDocument/2006/relationships/pivotTable" Target="../pivotTables/pivotTable3.xml"/><Relationship Id="rId21" Type="http://schemas.openxmlformats.org/officeDocument/2006/relationships/table" Target="../tables/table7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6.xml"/><Relationship Id="rId20" Type="http://schemas.openxmlformats.org/officeDocument/2006/relationships/table" Target="../tables/table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rinterSettings" Target="../printerSettings/printerSettings4.bin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57418-6C35-43AD-8422-3682B61E6429}">
  <sheetPr codeName="Feuil2"/>
  <dimension ref="A1:N110"/>
  <sheetViews>
    <sheetView workbookViewId="0">
      <pane ySplit="1" topLeftCell="A69" activePane="bottomLeft" state="frozen"/>
      <selection pane="bottomLeft" activeCell="I107" sqref="I107"/>
    </sheetView>
  </sheetViews>
  <sheetFormatPr baseColWidth="10" defaultColWidth="11.42578125" defaultRowHeight="15" x14ac:dyDescent="0.25"/>
  <cols>
    <col min="1" max="1" width="53" bestFit="1" customWidth="1"/>
    <col min="2" max="2" width="15.42578125" bestFit="1" customWidth="1"/>
  </cols>
  <sheetData>
    <row r="1" spans="1:14" x14ac:dyDescent="0.25">
      <c r="I1">
        <f>B23</f>
        <v>712</v>
      </c>
      <c r="J1">
        <f>B35</f>
        <v>167</v>
      </c>
      <c r="K1">
        <f>B47</f>
        <v>44</v>
      </c>
      <c r="L1">
        <f>B76</f>
        <v>1420</v>
      </c>
      <c r="M1">
        <f>B108</f>
        <v>1361</v>
      </c>
      <c r="N1">
        <f>SUM(I1:M1)</f>
        <v>3704</v>
      </c>
    </row>
    <row r="3" spans="1:14" ht="21" x14ac:dyDescent="0.35">
      <c r="A3" s="1" t="s">
        <v>0</v>
      </c>
      <c r="B3" s="2" t="s">
        <v>1</v>
      </c>
    </row>
    <row r="4" spans="1:14" ht="21" x14ac:dyDescent="0.35">
      <c r="A4" s="3" t="s">
        <v>2</v>
      </c>
      <c r="B4" s="4">
        <v>0</v>
      </c>
    </row>
    <row r="5" spans="1:14" ht="21" x14ac:dyDescent="0.35">
      <c r="A5" s="3" t="s">
        <v>3</v>
      </c>
      <c r="B5" s="4">
        <v>47</v>
      </c>
    </row>
    <row r="6" spans="1:14" ht="21" x14ac:dyDescent="0.35">
      <c r="A6" s="3" t="s">
        <v>4</v>
      </c>
      <c r="B6">
        <v>1</v>
      </c>
    </row>
    <row r="7" spans="1:14" ht="21" x14ac:dyDescent="0.35">
      <c r="A7" s="3" t="s">
        <v>5</v>
      </c>
      <c r="B7" s="4">
        <v>28</v>
      </c>
    </row>
    <row r="8" spans="1:14" ht="21" x14ac:dyDescent="0.35">
      <c r="A8" s="16" t="s">
        <v>6</v>
      </c>
      <c r="B8" s="17">
        <v>2</v>
      </c>
    </row>
    <row r="9" spans="1:14" ht="21" x14ac:dyDescent="0.35">
      <c r="A9" s="3" t="s">
        <v>7</v>
      </c>
      <c r="B9" s="4">
        <v>1</v>
      </c>
    </row>
    <row r="10" spans="1:14" ht="21" x14ac:dyDescent="0.35">
      <c r="A10" s="3" t="s">
        <v>8</v>
      </c>
      <c r="B10" s="4">
        <v>0</v>
      </c>
    </row>
    <row r="11" spans="1:14" ht="21" x14ac:dyDescent="0.35">
      <c r="A11" s="3" t="s">
        <v>9</v>
      </c>
      <c r="B11" s="4">
        <v>2</v>
      </c>
    </row>
    <row r="12" spans="1:14" ht="21" x14ac:dyDescent="0.35">
      <c r="A12" s="3" t="s">
        <v>10</v>
      </c>
      <c r="B12" s="4">
        <v>256</v>
      </c>
    </row>
    <row r="13" spans="1:14" ht="21" x14ac:dyDescent="0.35">
      <c r="A13" s="3" t="s">
        <v>11</v>
      </c>
      <c r="B13" s="4">
        <v>117</v>
      </c>
    </row>
    <row r="14" spans="1:14" ht="21" x14ac:dyDescent="0.35">
      <c r="A14" s="3" t="s">
        <v>12</v>
      </c>
      <c r="B14" s="4">
        <v>10</v>
      </c>
    </row>
    <row r="15" spans="1:14" ht="21" x14ac:dyDescent="0.35">
      <c r="A15" s="3" t="s">
        <v>13</v>
      </c>
      <c r="B15" s="4">
        <v>138</v>
      </c>
    </row>
    <row r="16" spans="1:14" ht="21" x14ac:dyDescent="0.35">
      <c r="A16" s="3" t="s">
        <v>14</v>
      </c>
      <c r="B16" s="4">
        <v>56</v>
      </c>
    </row>
    <row r="17" spans="1:2" ht="21" x14ac:dyDescent="0.35">
      <c r="A17" s="3" t="s">
        <v>15</v>
      </c>
      <c r="B17" s="4">
        <v>9</v>
      </c>
    </row>
    <row r="18" spans="1:2" ht="21" x14ac:dyDescent="0.35">
      <c r="A18" s="3" t="s">
        <v>16</v>
      </c>
      <c r="B18" s="4">
        <v>6</v>
      </c>
    </row>
    <row r="19" spans="1:2" ht="21" x14ac:dyDescent="0.35">
      <c r="A19" s="3" t="s">
        <v>17</v>
      </c>
      <c r="B19" s="4">
        <v>19</v>
      </c>
    </row>
    <row r="20" spans="1:2" ht="21" x14ac:dyDescent="0.35">
      <c r="A20" s="3" t="s">
        <v>18</v>
      </c>
      <c r="B20" s="4">
        <v>4</v>
      </c>
    </row>
    <row r="21" spans="1:2" ht="21" x14ac:dyDescent="0.35">
      <c r="A21" s="3" t="s">
        <v>19</v>
      </c>
      <c r="B21" s="4">
        <v>0</v>
      </c>
    </row>
    <row r="22" spans="1:2" ht="21" x14ac:dyDescent="0.35">
      <c r="A22" s="3" t="s">
        <v>20</v>
      </c>
      <c r="B22" s="4">
        <v>16</v>
      </c>
    </row>
    <row r="23" spans="1:2" ht="21" x14ac:dyDescent="0.35">
      <c r="A23" s="1" t="s">
        <v>21</v>
      </c>
      <c r="B23" s="5">
        <f>SUM(B4:B22)</f>
        <v>712</v>
      </c>
    </row>
    <row r="24" spans="1:2" ht="21" x14ac:dyDescent="0.35">
      <c r="A24" s="6"/>
    </row>
    <row r="25" spans="1:2" ht="21" x14ac:dyDescent="0.35">
      <c r="A25" s="1" t="s">
        <v>22</v>
      </c>
      <c r="B25" s="5" t="s">
        <v>1</v>
      </c>
    </row>
    <row r="26" spans="1:2" ht="21" x14ac:dyDescent="0.35">
      <c r="A26" s="3" t="s">
        <v>23</v>
      </c>
      <c r="B26" s="4">
        <v>83</v>
      </c>
    </row>
    <row r="27" spans="1:2" ht="21" x14ac:dyDescent="0.35">
      <c r="A27" s="3" t="s">
        <v>24</v>
      </c>
      <c r="B27" s="4">
        <v>1</v>
      </c>
    </row>
    <row r="28" spans="1:2" ht="21" x14ac:dyDescent="0.35">
      <c r="A28" s="3" t="s">
        <v>25</v>
      </c>
      <c r="B28" s="4">
        <v>15</v>
      </c>
    </row>
    <row r="29" spans="1:2" ht="21" x14ac:dyDescent="0.35">
      <c r="A29" s="3" t="s">
        <v>26</v>
      </c>
      <c r="B29" s="4">
        <v>36</v>
      </c>
    </row>
    <row r="30" spans="1:2" ht="21" x14ac:dyDescent="0.35">
      <c r="A30" s="3" t="s">
        <v>27</v>
      </c>
      <c r="B30" s="4">
        <v>1</v>
      </c>
    </row>
    <row r="31" spans="1:2" ht="21" x14ac:dyDescent="0.35">
      <c r="A31" s="3" t="s">
        <v>28</v>
      </c>
      <c r="B31" s="4">
        <v>8</v>
      </c>
    </row>
    <row r="32" spans="1:2" ht="21" x14ac:dyDescent="0.35">
      <c r="A32" s="3" t="s">
        <v>29</v>
      </c>
      <c r="B32" s="4">
        <v>11</v>
      </c>
    </row>
    <row r="33" spans="1:2" ht="21" x14ac:dyDescent="0.35">
      <c r="A33" s="3" t="s">
        <v>30</v>
      </c>
      <c r="B33" s="4">
        <v>5</v>
      </c>
    </row>
    <row r="34" spans="1:2" ht="21" x14ac:dyDescent="0.35">
      <c r="A34" s="3" t="s">
        <v>31</v>
      </c>
      <c r="B34" s="4">
        <v>7</v>
      </c>
    </row>
    <row r="35" spans="1:2" ht="21" x14ac:dyDescent="0.35">
      <c r="A35" s="1" t="s">
        <v>21</v>
      </c>
      <c r="B35" s="5">
        <f>SUM(B26:B34)</f>
        <v>167</v>
      </c>
    </row>
    <row r="38" spans="1:2" ht="21" x14ac:dyDescent="0.35">
      <c r="A38" s="1" t="s">
        <v>32</v>
      </c>
      <c r="B38" s="5" t="s">
        <v>1</v>
      </c>
    </row>
    <row r="39" spans="1:2" ht="18" x14ac:dyDescent="0.25">
      <c r="A39" s="7" t="s">
        <v>33</v>
      </c>
      <c r="B39" s="4">
        <v>2</v>
      </c>
    </row>
    <row r="40" spans="1:2" ht="18" x14ac:dyDescent="0.25">
      <c r="A40" s="7" t="s">
        <v>34</v>
      </c>
      <c r="B40" s="4"/>
    </row>
    <row r="41" spans="1:2" ht="18" x14ac:dyDescent="0.25">
      <c r="A41" s="15" t="s">
        <v>35</v>
      </c>
      <c r="B41" s="14">
        <v>1</v>
      </c>
    </row>
    <row r="42" spans="1:2" ht="18" x14ac:dyDescent="0.25">
      <c r="A42" s="7" t="s">
        <v>36</v>
      </c>
      <c r="B42" s="4">
        <v>1</v>
      </c>
    </row>
    <row r="43" spans="1:2" ht="18" x14ac:dyDescent="0.25">
      <c r="A43" s="7" t="s">
        <v>37</v>
      </c>
      <c r="B43" s="4">
        <v>38</v>
      </c>
    </row>
    <row r="44" spans="1:2" ht="18" x14ac:dyDescent="0.25">
      <c r="A44" s="7" t="s">
        <v>38</v>
      </c>
      <c r="B44" s="4"/>
    </row>
    <row r="45" spans="1:2" ht="18" x14ac:dyDescent="0.25">
      <c r="A45" s="7" t="s">
        <v>39</v>
      </c>
      <c r="B45" s="4">
        <v>2</v>
      </c>
    </row>
    <row r="46" spans="1:2" ht="18" x14ac:dyDescent="0.25">
      <c r="A46" s="7" t="s">
        <v>40</v>
      </c>
      <c r="B46" s="4"/>
    </row>
    <row r="47" spans="1:2" ht="21" x14ac:dyDescent="0.35">
      <c r="A47" s="1" t="s">
        <v>21</v>
      </c>
      <c r="B47" s="5">
        <f>SUM(B39:B46)</f>
        <v>44</v>
      </c>
    </row>
    <row r="50" spans="1:7" ht="18.75" x14ac:dyDescent="0.3">
      <c r="A50" s="5" t="s">
        <v>41</v>
      </c>
      <c r="B50" s="5" t="s">
        <v>1</v>
      </c>
    </row>
    <row r="51" spans="1:7" ht="18" x14ac:dyDescent="0.25">
      <c r="A51" s="7" t="s">
        <v>42</v>
      </c>
      <c r="B51" s="8">
        <v>84</v>
      </c>
    </row>
    <row r="52" spans="1:7" ht="18" x14ac:dyDescent="0.25">
      <c r="A52" s="15" t="s">
        <v>43</v>
      </c>
      <c r="B52" s="14">
        <v>151</v>
      </c>
    </row>
    <row r="53" spans="1:7" ht="18" x14ac:dyDescent="0.25">
      <c r="A53" s="7" t="s">
        <v>44</v>
      </c>
      <c r="B53" s="4">
        <v>1</v>
      </c>
    </row>
    <row r="54" spans="1:7" ht="18" x14ac:dyDescent="0.25">
      <c r="A54" s="7" t="s">
        <v>45</v>
      </c>
      <c r="B54" s="4">
        <v>2</v>
      </c>
    </row>
    <row r="55" spans="1:7" ht="18" x14ac:dyDescent="0.25">
      <c r="A55" s="7" t="s">
        <v>46</v>
      </c>
      <c r="B55" s="4">
        <v>30</v>
      </c>
    </row>
    <row r="56" spans="1:7" ht="18" x14ac:dyDescent="0.25">
      <c r="A56" s="7" t="s">
        <v>47</v>
      </c>
      <c r="B56" s="4">
        <v>1</v>
      </c>
      <c r="G56" t="s">
        <v>48</v>
      </c>
    </row>
    <row r="57" spans="1:7" ht="18" x14ac:dyDescent="0.25">
      <c r="A57" s="7" t="s">
        <v>49</v>
      </c>
      <c r="B57" s="4">
        <v>8</v>
      </c>
    </row>
    <row r="58" spans="1:7" ht="18" x14ac:dyDescent="0.25">
      <c r="A58" s="7" t="s">
        <v>50</v>
      </c>
      <c r="B58" s="4">
        <v>126</v>
      </c>
    </row>
    <row r="59" spans="1:7" ht="18" x14ac:dyDescent="0.25">
      <c r="A59" s="7" t="s">
        <v>51</v>
      </c>
      <c r="B59" s="4">
        <v>3</v>
      </c>
    </row>
    <row r="60" spans="1:7" ht="18" x14ac:dyDescent="0.25">
      <c r="A60" s="7" t="s">
        <v>52</v>
      </c>
      <c r="B60" s="4">
        <v>62</v>
      </c>
    </row>
    <row r="61" spans="1:7" ht="18" x14ac:dyDescent="0.25">
      <c r="A61" s="7" t="s">
        <v>53</v>
      </c>
      <c r="B61" s="4">
        <v>0</v>
      </c>
    </row>
    <row r="62" spans="1:7" ht="18" x14ac:dyDescent="0.25">
      <c r="A62" s="7" t="s">
        <v>54</v>
      </c>
      <c r="B62" s="4">
        <v>0</v>
      </c>
    </row>
    <row r="63" spans="1:7" ht="18" x14ac:dyDescent="0.25">
      <c r="A63" s="7">
        <v>107</v>
      </c>
      <c r="B63" s="4">
        <v>2</v>
      </c>
    </row>
    <row r="64" spans="1:7" ht="18" x14ac:dyDescent="0.25">
      <c r="A64" s="7">
        <v>184</v>
      </c>
      <c r="B64" s="4">
        <v>284</v>
      </c>
    </row>
    <row r="65" spans="1:2" ht="18" x14ac:dyDescent="0.25">
      <c r="A65" s="7">
        <v>187</v>
      </c>
      <c r="B65" s="4">
        <v>2</v>
      </c>
    </row>
    <row r="66" spans="1:2" ht="18" x14ac:dyDescent="0.25">
      <c r="A66" s="7">
        <v>188</v>
      </c>
      <c r="B66" s="4">
        <v>0</v>
      </c>
    </row>
    <row r="67" spans="1:2" ht="18" x14ac:dyDescent="0.25">
      <c r="A67" s="7">
        <v>189</v>
      </c>
      <c r="B67" s="4">
        <v>78</v>
      </c>
    </row>
    <row r="68" spans="1:2" ht="18" x14ac:dyDescent="0.25">
      <c r="A68" s="7">
        <v>190</v>
      </c>
      <c r="B68" s="4">
        <v>26</v>
      </c>
    </row>
    <row r="69" spans="1:2" ht="18" x14ac:dyDescent="0.25">
      <c r="A69" s="7">
        <v>191</v>
      </c>
      <c r="B69" s="4">
        <v>10</v>
      </c>
    </row>
    <row r="70" spans="1:2" ht="18" x14ac:dyDescent="0.25">
      <c r="A70" s="7">
        <v>192</v>
      </c>
      <c r="B70" s="4">
        <v>4</v>
      </c>
    </row>
    <row r="71" spans="1:2" ht="18" x14ac:dyDescent="0.25">
      <c r="A71" s="7">
        <v>193</v>
      </c>
      <c r="B71" s="4">
        <v>291</v>
      </c>
    </row>
    <row r="72" spans="1:2" ht="18" x14ac:dyDescent="0.25">
      <c r="A72" s="7">
        <v>194</v>
      </c>
      <c r="B72" s="4">
        <v>252</v>
      </c>
    </row>
    <row r="73" spans="1:2" ht="18" x14ac:dyDescent="0.25">
      <c r="A73" s="7">
        <v>195</v>
      </c>
      <c r="B73" s="4">
        <v>3</v>
      </c>
    </row>
    <row r="74" spans="1:2" ht="18" x14ac:dyDescent="0.25">
      <c r="A74" s="7">
        <v>198</v>
      </c>
      <c r="B74" s="4">
        <v>0</v>
      </c>
    </row>
    <row r="75" spans="1:2" ht="18" x14ac:dyDescent="0.25">
      <c r="A75" s="7">
        <v>199</v>
      </c>
      <c r="B75" s="4">
        <v>0</v>
      </c>
    </row>
    <row r="76" spans="1:2" ht="21" x14ac:dyDescent="0.35">
      <c r="A76" s="1" t="s">
        <v>21</v>
      </c>
      <c r="B76" s="5">
        <f>SUM(B51:B75)</f>
        <v>1420</v>
      </c>
    </row>
    <row r="79" spans="1:2" ht="18.75" x14ac:dyDescent="0.3">
      <c r="A79" s="5" t="s">
        <v>55</v>
      </c>
      <c r="B79" s="5" t="s">
        <v>1</v>
      </c>
    </row>
    <row r="80" spans="1:2" ht="18" x14ac:dyDescent="0.25">
      <c r="A80" s="7" t="s">
        <v>42</v>
      </c>
      <c r="B80" s="9">
        <v>188</v>
      </c>
    </row>
    <row r="81" spans="1:2" ht="18" x14ac:dyDescent="0.25">
      <c r="A81" s="7" t="s">
        <v>43</v>
      </c>
      <c r="B81" s="9">
        <v>233</v>
      </c>
    </row>
    <row r="82" spans="1:2" ht="18" x14ac:dyDescent="0.25">
      <c r="A82" s="7" t="s">
        <v>56</v>
      </c>
      <c r="B82" s="9">
        <v>146</v>
      </c>
    </row>
    <row r="83" spans="1:2" ht="18" x14ac:dyDescent="0.25">
      <c r="A83" s="7" t="s">
        <v>57</v>
      </c>
      <c r="B83" s="13">
        <v>214</v>
      </c>
    </row>
    <row r="84" spans="1:2" ht="18" x14ac:dyDescent="0.25">
      <c r="A84" s="7" t="s">
        <v>45</v>
      </c>
      <c r="B84" s="9">
        <v>3</v>
      </c>
    </row>
    <row r="85" spans="1:2" ht="18" x14ac:dyDescent="0.25">
      <c r="A85" s="7" t="s">
        <v>46</v>
      </c>
      <c r="B85" s="9">
        <v>42</v>
      </c>
    </row>
    <row r="86" spans="1:2" ht="18" x14ac:dyDescent="0.25">
      <c r="A86" s="7" t="s">
        <v>50</v>
      </c>
      <c r="B86" s="9">
        <v>162</v>
      </c>
    </row>
    <row r="87" spans="1:2" ht="18" x14ac:dyDescent="0.25">
      <c r="A87" s="7" t="s">
        <v>58</v>
      </c>
      <c r="B87" s="9">
        <v>2</v>
      </c>
    </row>
    <row r="88" spans="1:2" ht="18" x14ac:dyDescent="0.25">
      <c r="A88" s="7" t="s">
        <v>49</v>
      </c>
      <c r="B88" s="10">
        <v>24</v>
      </c>
    </row>
    <row r="89" spans="1:2" ht="18" x14ac:dyDescent="0.25">
      <c r="A89" s="7" t="s">
        <v>33</v>
      </c>
      <c r="B89" s="10"/>
    </row>
    <row r="90" spans="1:2" ht="18" x14ac:dyDescent="0.25">
      <c r="A90" s="7" t="s">
        <v>59</v>
      </c>
      <c r="B90" s="10">
        <v>6</v>
      </c>
    </row>
    <row r="91" spans="1:2" ht="18" x14ac:dyDescent="0.25">
      <c r="A91" s="7" t="s">
        <v>60</v>
      </c>
      <c r="B91" s="10"/>
    </row>
    <row r="92" spans="1:2" ht="18" x14ac:dyDescent="0.25">
      <c r="A92" s="7" t="s">
        <v>27</v>
      </c>
      <c r="B92" s="10"/>
    </row>
    <row r="93" spans="1:2" ht="18" x14ac:dyDescent="0.25">
      <c r="A93" s="7" t="s">
        <v>61</v>
      </c>
      <c r="B93" s="10"/>
    </row>
    <row r="94" spans="1:2" ht="18" x14ac:dyDescent="0.25">
      <c r="A94" s="7" t="s">
        <v>62</v>
      </c>
      <c r="B94" s="10">
        <v>2</v>
      </c>
    </row>
    <row r="95" spans="1:2" ht="18" x14ac:dyDescent="0.25">
      <c r="A95" s="7" t="s">
        <v>63</v>
      </c>
      <c r="B95" s="10"/>
    </row>
    <row r="96" spans="1:2" ht="18" x14ac:dyDescent="0.25">
      <c r="A96" s="7" t="s">
        <v>64</v>
      </c>
      <c r="B96" s="10"/>
    </row>
    <row r="97" spans="1:3" ht="18" x14ac:dyDescent="0.25">
      <c r="A97" s="7" t="s">
        <v>28</v>
      </c>
      <c r="B97" s="10">
        <v>5</v>
      </c>
    </row>
    <row r="98" spans="1:3" ht="18" x14ac:dyDescent="0.25">
      <c r="A98" s="7" t="s">
        <v>65</v>
      </c>
      <c r="B98" s="10">
        <v>2</v>
      </c>
    </row>
    <row r="99" spans="1:3" ht="18" x14ac:dyDescent="0.25">
      <c r="A99" s="7" t="s">
        <v>66</v>
      </c>
      <c r="B99" s="10">
        <v>40</v>
      </c>
    </row>
    <row r="100" spans="1:3" ht="18" x14ac:dyDescent="0.25">
      <c r="A100" s="7" t="s">
        <v>67</v>
      </c>
      <c r="B100" s="10">
        <v>1</v>
      </c>
    </row>
    <row r="101" spans="1:3" ht="18" x14ac:dyDescent="0.25">
      <c r="A101" s="7" t="s">
        <v>68</v>
      </c>
      <c r="B101" s="10">
        <v>2</v>
      </c>
    </row>
    <row r="102" spans="1:3" ht="18" x14ac:dyDescent="0.25">
      <c r="A102" s="7" t="s">
        <v>69</v>
      </c>
      <c r="B102" s="10">
        <v>63</v>
      </c>
    </row>
    <row r="103" spans="1:3" ht="18" x14ac:dyDescent="0.25">
      <c r="A103" s="7">
        <v>184</v>
      </c>
      <c r="B103" s="10">
        <v>217</v>
      </c>
    </row>
    <row r="104" spans="1:3" ht="18" x14ac:dyDescent="0.25">
      <c r="A104" s="7">
        <v>178</v>
      </c>
      <c r="B104" s="10">
        <v>5</v>
      </c>
    </row>
    <row r="105" spans="1:3" ht="18" x14ac:dyDescent="0.25">
      <c r="A105" s="7">
        <v>187</v>
      </c>
      <c r="B105" s="10"/>
    </row>
    <row r="106" spans="1:3" ht="18" x14ac:dyDescent="0.25">
      <c r="A106" s="7">
        <v>188</v>
      </c>
      <c r="B106" s="10">
        <v>2</v>
      </c>
    </row>
    <row r="107" spans="1:3" ht="18" x14ac:dyDescent="0.25">
      <c r="A107" s="7">
        <v>190</v>
      </c>
      <c r="B107" s="10">
        <v>2</v>
      </c>
    </row>
    <row r="108" spans="1:3" ht="18.75" x14ac:dyDescent="0.3">
      <c r="A108" s="11" t="s">
        <v>21</v>
      </c>
      <c r="B108" s="5">
        <f>SUM(B80:B107)</f>
        <v>1361</v>
      </c>
    </row>
    <row r="109" spans="1:3" ht="18" x14ac:dyDescent="0.25">
      <c r="A109" s="12"/>
      <c r="C109" s="12"/>
    </row>
    <row r="110" spans="1:3" ht="18" x14ac:dyDescent="0.25">
      <c r="A110" s="12"/>
    </row>
  </sheetData>
  <sortState ref="A104:A107">
    <sortCondition ref="A10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664B1-0F43-449C-B71B-2312AF98BAF3}">
  <sheetPr codeName="Feuil15">
    <tabColor theme="4" tint="-0.499984740745262"/>
  </sheetPr>
  <dimension ref="H3:S43"/>
  <sheetViews>
    <sheetView showGridLines="0" workbookViewId="0">
      <selection activeCell="H9" sqref="H9"/>
    </sheetView>
  </sheetViews>
  <sheetFormatPr baseColWidth="10" defaultRowHeight="15" x14ac:dyDescent="0.25"/>
  <cols>
    <col min="1" max="16384" width="11.42578125" style="265"/>
  </cols>
  <sheetData>
    <row r="3" spans="8:19" ht="15" customHeight="1" x14ac:dyDescent="0.25">
      <c r="H3" s="271" t="s">
        <v>358</v>
      </c>
      <c r="I3" s="271"/>
      <c r="J3" s="271"/>
      <c r="K3" s="271"/>
      <c r="L3" s="271"/>
      <c r="M3" s="271"/>
      <c r="N3" s="271"/>
      <c r="O3" s="271"/>
      <c r="P3" s="271"/>
      <c r="S3" s="266"/>
    </row>
    <row r="4" spans="8:19" ht="18.75" customHeight="1" x14ac:dyDescent="0.25">
      <c r="H4" s="271"/>
      <c r="I4" s="271"/>
      <c r="J4" s="271"/>
      <c r="K4" s="271"/>
      <c r="L4" s="271"/>
      <c r="M4" s="271"/>
      <c r="N4" s="271"/>
      <c r="O4" s="271"/>
      <c r="P4" s="271"/>
    </row>
    <row r="43" spans="10:15" ht="31.5" x14ac:dyDescent="0.25">
      <c r="J43" s="270" t="s">
        <v>359</v>
      </c>
      <c r="K43" s="270"/>
      <c r="L43" s="270"/>
      <c r="M43" s="270"/>
      <c r="N43" s="270"/>
      <c r="O43" s="270"/>
    </row>
  </sheetData>
  <mergeCells count="2">
    <mergeCell ref="J43:O43"/>
    <mergeCell ref="H3:P4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5601" r:id="rId4" name="LogOut">
          <controlPr defaultSize="0" autoLine="0" r:id="rId5">
            <anchor moveWithCells="1">
              <from>
                <xdr:col>0</xdr:col>
                <xdr:colOff>142875</xdr:colOff>
                <xdr:row>0</xdr:row>
                <xdr:rowOff>142875</xdr:rowOff>
              </from>
              <to>
                <xdr:col>3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25601" r:id="rId4" name="LogOut"/>
      </mc:Fallback>
    </mc:AlternateContent>
    <mc:AlternateContent xmlns:mc="http://schemas.openxmlformats.org/markup-compatibility/2006">
      <mc:Choice Requires="x14">
        <control shapeId="25602" r:id="rId6" name="CommandButton1">
          <controlPr defaultSize="0" autoLine="0" autoPict="0" r:id="rId7">
            <anchor moveWithCells="1">
              <from>
                <xdr:col>3</xdr:col>
                <xdr:colOff>333375</xdr:colOff>
                <xdr:row>0</xdr:row>
                <xdr:rowOff>161925</xdr:rowOff>
              </from>
              <to>
                <xdr:col>6</xdr:col>
                <xdr:colOff>200025</xdr:colOff>
                <xdr:row>3</xdr:row>
                <xdr:rowOff>171450</xdr:rowOff>
              </to>
            </anchor>
          </controlPr>
        </control>
      </mc:Choice>
      <mc:Fallback>
        <control shapeId="25602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D337-A11F-40F3-B941-E6EF8B0FEA59}">
  <sheetPr codeName="Feuil10">
    <tabColor rgb="FF7030A0"/>
    <pageSetUpPr fitToPage="1"/>
  </sheetPr>
  <dimension ref="A1:X10"/>
  <sheetViews>
    <sheetView showGridLines="0" topLeftCell="A7" zoomScaleNormal="100" workbookViewId="0">
      <selection activeCell="A14" sqref="A14"/>
    </sheetView>
  </sheetViews>
  <sheetFormatPr baseColWidth="10" defaultColWidth="11.42578125" defaultRowHeight="15" x14ac:dyDescent="0.25"/>
  <cols>
    <col min="1" max="17" width="11.42578125" style="166"/>
    <col min="18" max="18" width="13.140625" style="166" customWidth="1"/>
    <col min="19" max="16384" width="11.42578125" style="166"/>
  </cols>
  <sheetData>
    <row r="1" spans="1:24" ht="15" customHeight="1" x14ac:dyDescent="0.25">
      <c r="A1" s="272" t="s">
        <v>70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4"/>
    </row>
    <row r="2" spans="1:24" ht="15" customHeight="1" x14ac:dyDescent="0.25">
      <c r="A2" s="275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7"/>
    </row>
    <row r="3" spans="1:24" ht="15" customHeight="1" x14ac:dyDescent="0.25">
      <c r="A3" s="275"/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7"/>
    </row>
    <row r="4" spans="1:24" x14ac:dyDescent="0.25">
      <c r="A4" s="275"/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6"/>
      <c r="S4" s="276"/>
      <c r="T4" s="276"/>
      <c r="U4" s="276"/>
      <c r="V4" s="276"/>
      <c r="W4" s="276"/>
      <c r="X4" s="277"/>
    </row>
    <row r="5" spans="1:24" ht="15" customHeight="1" x14ac:dyDescent="0.25">
      <c r="A5" s="275"/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  <c r="S5" s="276"/>
      <c r="T5" s="276"/>
      <c r="U5" s="276"/>
      <c r="V5" s="276"/>
      <c r="W5" s="276"/>
      <c r="X5" s="277"/>
    </row>
    <row r="6" spans="1:24" ht="15" customHeight="1" x14ac:dyDescent="0.25">
      <c r="A6" s="275"/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7"/>
    </row>
    <row r="7" spans="1:24" x14ac:dyDescent="0.25">
      <c r="A7" s="275"/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276"/>
      <c r="V7" s="276"/>
      <c r="W7" s="276"/>
      <c r="X7" s="277"/>
    </row>
    <row r="8" spans="1:24" x14ac:dyDescent="0.25">
      <c r="A8" s="275"/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6"/>
      <c r="V8" s="276"/>
      <c r="W8" s="276"/>
      <c r="X8" s="277"/>
    </row>
    <row r="9" spans="1:24" x14ac:dyDescent="0.25">
      <c r="A9" s="275"/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6"/>
      <c r="V9" s="276"/>
      <c r="W9" s="276"/>
      <c r="X9" s="277"/>
    </row>
    <row r="10" spans="1:24" ht="15.75" thickBot="1" x14ac:dyDescent="0.3">
      <c r="A10" s="278"/>
      <c r="B10" s="279"/>
      <c r="C10" s="279"/>
      <c r="D10" s="279"/>
      <c r="E10" s="279"/>
      <c r="F10" s="279"/>
      <c r="G10" s="279"/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79"/>
      <c r="V10" s="279"/>
      <c r="W10" s="279"/>
      <c r="X10" s="280"/>
    </row>
  </sheetData>
  <mergeCells count="1">
    <mergeCell ref="A1:X10"/>
  </mergeCells>
  <pageMargins left="0.70866141732283472" right="0.70866141732283472" top="0.74803149606299213" bottom="0.74803149606299213" header="0.31496062992125984" footer="0.31496062992125984"/>
  <pageSetup paperSize="9" scale="58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9E85B-ED3D-4C77-8BD4-40F911400F55}">
  <sheetPr codeName="Feuil14">
    <tabColor rgb="FF0070C0"/>
    <pageSetUpPr fitToPage="1"/>
  </sheetPr>
  <dimension ref="A1:X10"/>
  <sheetViews>
    <sheetView showGridLines="0" zoomScaleNormal="100" workbookViewId="0">
      <selection sqref="A1:X10"/>
    </sheetView>
  </sheetViews>
  <sheetFormatPr baseColWidth="10" defaultColWidth="11.42578125" defaultRowHeight="15" x14ac:dyDescent="0.25"/>
  <cols>
    <col min="1" max="17" width="11.42578125" style="166"/>
    <col min="18" max="18" width="13.140625" style="166" customWidth="1"/>
    <col min="19" max="16384" width="11.42578125" style="166"/>
  </cols>
  <sheetData>
    <row r="1" spans="1:24" ht="15" customHeight="1" x14ac:dyDescent="0.25">
      <c r="A1" s="272" t="s">
        <v>70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4"/>
    </row>
    <row r="2" spans="1:24" ht="15" customHeight="1" x14ac:dyDescent="0.25">
      <c r="A2" s="275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7"/>
    </row>
    <row r="3" spans="1:24" ht="15" customHeight="1" x14ac:dyDescent="0.25">
      <c r="A3" s="275"/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7"/>
    </row>
    <row r="4" spans="1:24" x14ac:dyDescent="0.25">
      <c r="A4" s="275"/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6"/>
      <c r="S4" s="276"/>
      <c r="T4" s="276"/>
      <c r="U4" s="276"/>
      <c r="V4" s="276"/>
      <c r="W4" s="276"/>
      <c r="X4" s="277"/>
    </row>
    <row r="5" spans="1:24" ht="15" customHeight="1" x14ac:dyDescent="0.25">
      <c r="A5" s="275"/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  <c r="S5" s="276"/>
      <c r="T5" s="276"/>
      <c r="U5" s="276"/>
      <c r="V5" s="276"/>
      <c r="W5" s="276"/>
      <c r="X5" s="277"/>
    </row>
    <row r="6" spans="1:24" ht="15" customHeight="1" x14ac:dyDescent="0.25">
      <c r="A6" s="275"/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7"/>
    </row>
    <row r="7" spans="1:24" x14ac:dyDescent="0.25">
      <c r="A7" s="275"/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276"/>
      <c r="V7" s="276"/>
      <c r="W7" s="276"/>
      <c r="X7" s="277"/>
    </row>
    <row r="8" spans="1:24" x14ac:dyDescent="0.25">
      <c r="A8" s="275"/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6"/>
      <c r="V8" s="276"/>
      <c r="W8" s="276"/>
      <c r="X8" s="277"/>
    </row>
    <row r="9" spans="1:24" x14ac:dyDescent="0.25">
      <c r="A9" s="275"/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6"/>
      <c r="V9" s="276"/>
      <c r="W9" s="276"/>
      <c r="X9" s="277"/>
    </row>
    <row r="10" spans="1:24" ht="15.75" thickBot="1" x14ac:dyDescent="0.3">
      <c r="A10" s="278"/>
      <c r="B10" s="279"/>
      <c r="C10" s="279"/>
      <c r="D10" s="279"/>
      <c r="E10" s="279"/>
      <c r="F10" s="279"/>
      <c r="G10" s="279"/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79"/>
      <c r="V10" s="279"/>
      <c r="W10" s="279"/>
      <c r="X10" s="280"/>
    </row>
  </sheetData>
  <mergeCells count="1">
    <mergeCell ref="A1:X10"/>
  </mergeCells>
  <pageMargins left="0.70866141732283472" right="0.70866141732283472" top="0.74803149606299213" bottom="0.74803149606299213" header="0.31496062992125984" footer="0.31496062992125984"/>
  <pageSetup paperSize="9" scale="58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129E8-B9F9-4727-AED6-89A5E424BF75}">
  <sheetPr codeName="Feuil16">
    <tabColor theme="8" tint="0.39997558519241921"/>
  </sheetPr>
  <dimension ref="A16"/>
  <sheetViews>
    <sheetView showGridLines="0" topLeftCell="A4" zoomScale="68" zoomScaleNormal="68" workbookViewId="0">
      <selection activeCell="O7" sqref="O7"/>
    </sheetView>
  </sheetViews>
  <sheetFormatPr baseColWidth="10" defaultRowHeight="15" x14ac:dyDescent="0.25"/>
  <cols>
    <col min="1" max="16384" width="11.42578125" style="268"/>
  </cols>
  <sheetData>
    <row r="16" ht="14.25" customHeight="1" x14ac:dyDescent="0.25"/>
  </sheetData>
  <sheetProtection algorithmName="SHA-512" hashValue="2wMZiuv/p1w4TlwcqJkvEn87GMSIsK0cZZLxi9irVdfWSYk9XfavPRfkPL9W0CQhKIR8gq3yCnmHt4fUMBzuvA==" saltValue="fG9g+5IT2S+c6BfOUpQKqA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80" r:id="rId3" name="CommandButton1">
          <controlPr defaultSize="0" autoLine="0" autoPict="0" r:id="rId4">
            <anchor moveWithCells="1">
              <from>
                <xdr:col>13</xdr:col>
                <xdr:colOff>314325</xdr:colOff>
                <xdr:row>19</xdr:row>
                <xdr:rowOff>104775</xdr:rowOff>
              </from>
              <to>
                <xdr:col>14</xdr:col>
                <xdr:colOff>504825</xdr:colOff>
                <xdr:row>22</xdr:row>
                <xdr:rowOff>133350</xdr:rowOff>
              </to>
            </anchor>
          </controlPr>
        </control>
      </mc:Choice>
      <mc:Fallback>
        <control shapeId="24580" r:id="rId3" name="CommandButton1"/>
      </mc:Fallback>
    </mc:AlternateContent>
    <mc:AlternateContent xmlns:mc="http://schemas.openxmlformats.org/markup-compatibility/2006">
      <mc:Choice Requires="x14">
        <control shapeId="24577" r:id="rId5" name="Txt_user">
          <controlPr defaultSize="0" autoLine="0" r:id="rId6">
            <anchor moveWithCells="1">
              <from>
                <xdr:col>11</xdr:col>
                <xdr:colOff>704850</xdr:colOff>
                <xdr:row>14</xdr:row>
                <xdr:rowOff>123825</xdr:rowOff>
              </from>
              <to>
                <xdr:col>16</xdr:col>
                <xdr:colOff>28575</xdr:colOff>
                <xdr:row>16</xdr:row>
                <xdr:rowOff>19050</xdr:rowOff>
              </to>
            </anchor>
          </controlPr>
        </control>
      </mc:Choice>
      <mc:Fallback>
        <control shapeId="24577" r:id="rId5" name="Txt_user"/>
      </mc:Fallback>
    </mc:AlternateContent>
    <mc:AlternateContent xmlns:mc="http://schemas.openxmlformats.org/markup-compatibility/2006">
      <mc:Choice Requires="x14">
        <control shapeId="24578" r:id="rId7" name="Txt_pass">
          <controlPr defaultSize="0" autoLine="0" r:id="rId6">
            <anchor moveWithCells="1">
              <from>
                <xdr:col>11</xdr:col>
                <xdr:colOff>704850</xdr:colOff>
                <xdr:row>17</xdr:row>
                <xdr:rowOff>28575</xdr:rowOff>
              </from>
              <to>
                <xdr:col>16</xdr:col>
                <xdr:colOff>28575</xdr:colOff>
                <xdr:row>18</xdr:row>
                <xdr:rowOff>104775</xdr:rowOff>
              </to>
            </anchor>
          </controlPr>
        </control>
      </mc:Choice>
      <mc:Fallback>
        <control shapeId="24578" r:id="rId7" name="Txt_pas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A3A-7A94-476F-BC54-C00B16012A88}">
  <sheetPr codeName="Feuil17">
    <tabColor theme="7" tint="-0.499984740745262"/>
  </sheetPr>
  <dimension ref="B2:D9"/>
  <sheetViews>
    <sheetView showGridLines="0" workbookViewId="0">
      <selection activeCell="C19" sqref="C19"/>
    </sheetView>
  </sheetViews>
  <sheetFormatPr baseColWidth="10" defaultRowHeight="15" x14ac:dyDescent="0.25"/>
  <cols>
    <col min="3" max="3" width="12.5703125" customWidth="1"/>
  </cols>
  <sheetData>
    <row r="2" spans="2:4" x14ac:dyDescent="0.25">
      <c r="B2" s="261" t="s">
        <v>348</v>
      </c>
      <c r="C2" s="262" t="s">
        <v>350</v>
      </c>
      <c r="D2" s="263" t="s">
        <v>349</v>
      </c>
    </row>
    <row r="3" spans="2:4" x14ac:dyDescent="0.25">
      <c r="B3" s="259" t="s">
        <v>351</v>
      </c>
      <c r="C3" s="267">
        <v>7891</v>
      </c>
      <c r="D3" s="260" t="s">
        <v>352</v>
      </c>
    </row>
    <row r="4" spans="2:4" x14ac:dyDescent="0.25">
      <c r="B4" s="259" t="s">
        <v>357</v>
      </c>
      <c r="C4" s="267">
        <v>2015</v>
      </c>
      <c r="D4" s="260" t="s">
        <v>352</v>
      </c>
    </row>
    <row r="5" spans="2:4" x14ac:dyDescent="0.25">
      <c r="B5" s="259" t="s">
        <v>353</v>
      </c>
      <c r="C5" s="267">
        <v>2019</v>
      </c>
      <c r="D5" s="260" t="s">
        <v>361</v>
      </c>
    </row>
    <row r="6" spans="2:4" x14ac:dyDescent="0.25">
      <c r="B6" s="259" t="s">
        <v>360</v>
      </c>
      <c r="C6" s="267">
        <v>2019</v>
      </c>
      <c r="D6" s="260" t="s">
        <v>361</v>
      </c>
    </row>
    <row r="7" spans="2:4" x14ac:dyDescent="0.25">
      <c r="B7" s="259" t="s">
        <v>354</v>
      </c>
      <c r="C7" s="267">
        <v>2019</v>
      </c>
      <c r="D7" s="260" t="s">
        <v>361</v>
      </c>
    </row>
    <row r="8" spans="2:4" x14ac:dyDescent="0.25">
      <c r="B8" s="259" t="s">
        <v>355</v>
      </c>
      <c r="C8" s="267">
        <v>2019</v>
      </c>
      <c r="D8" s="260" t="s">
        <v>361</v>
      </c>
    </row>
    <row r="9" spans="2:4" x14ac:dyDescent="0.25">
      <c r="B9" s="264" t="s">
        <v>356</v>
      </c>
      <c r="C9" s="267">
        <v>2019</v>
      </c>
      <c r="D9" s="260" t="s">
        <v>361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8879E-DBDD-42E0-8009-7D6CE6B93565}">
  <sheetPr codeName="Feuil8"/>
  <dimension ref="A1:DI17"/>
  <sheetViews>
    <sheetView topLeftCell="DA1" workbookViewId="0">
      <selection activeCell="DK2" sqref="DK2"/>
    </sheetView>
  </sheetViews>
  <sheetFormatPr baseColWidth="10" defaultColWidth="11.42578125" defaultRowHeight="15" x14ac:dyDescent="0.25"/>
  <cols>
    <col min="1" max="1" width="14.28515625" customWidth="1"/>
    <col min="2" max="2" width="24.28515625" customWidth="1"/>
    <col min="3" max="3" width="23.42578125" customWidth="1"/>
    <col min="4" max="4" width="25.140625" customWidth="1"/>
    <col min="5" max="5" width="11.5703125" customWidth="1"/>
    <col min="8" max="8" width="26.5703125" customWidth="1"/>
    <col min="9" max="9" width="22" customWidth="1"/>
    <col min="10" max="10" width="18" customWidth="1"/>
    <col min="11" max="11" width="12.7109375" customWidth="1"/>
    <col min="12" max="12" width="11.85546875" customWidth="1"/>
    <col min="13" max="13" width="17.140625" customWidth="1"/>
    <col min="14" max="14" width="19.28515625" customWidth="1"/>
    <col min="15" max="15" width="13" customWidth="1"/>
    <col min="16" max="16" width="16.7109375" customWidth="1"/>
    <col min="17" max="17" width="11.5703125" customWidth="1"/>
    <col min="18" max="19" width="13" customWidth="1"/>
    <col min="20" max="20" width="16.42578125" customWidth="1"/>
    <col min="22" max="22" width="12" customWidth="1"/>
    <col min="23" max="23" width="29.140625" customWidth="1"/>
    <col min="24" max="24" width="36.85546875" customWidth="1"/>
    <col min="25" max="25" width="20" customWidth="1"/>
    <col min="26" max="26" width="19.7109375" customWidth="1"/>
    <col min="27" max="27" width="20.5703125" customWidth="1"/>
    <col min="28" max="28" width="23.42578125" customWidth="1"/>
    <col min="29" max="29" width="28" customWidth="1"/>
    <col min="30" max="30" width="18.7109375" customWidth="1"/>
    <col min="32" max="32" width="26.85546875" customWidth="1"/>
    <col min="33" max="33" width="31.140625" customWidth="1"/>
    <col min="34" max="34" width="23.28515625" customWidth="1"/>
    <col min="35" max="35" width="12.7109375" customWidth="1"/>
    <col min="36" max="36" width="12.42578125" customWidth="1"/>
    <col min="37" max="37" width="21.7109375" customWidth="1"/>
    <col min="38" max="38" width="15.5703125" customWidth="1"/>
    <col min="39" max="39" width="18.140625" customWidth="1"/>
    <col min="40" max="40" width="25.28515625" customWidth="1"/>
    <col min="41" max="41" width="42" customWidth="1"/>
    <col min="42" max="42" width="20" customWidth="1"/>
    <col min="44" max="44" width="11.5703125" customWidth="1"/>
    <col min="45" max="45" width="20" customWidth="1"/>
    <col min="46" max="46" width="12.7109375" customWidth="1"/>
    <col min="47" max="47" width="12.42578125" customWidth="1"/>
    <col min="48" max="49" width="22.42578125" customWidth="1"/>
    <col min="50" max="50" width="26.7109375" customWidth="1"/>
    <col min="51" max="51" width="19.5703125" customWidth="1"/>
    <col min="52" max="52" width="25" customWidth="1"/>
    <col min="53" max="53" width="16" customWidth="1"/>
    <col min="54" max="54" width="23.5703125" customWidth="1"/>
    <col min="55" max="55" width="16.5703125" customWidth="1"/>
    <col min="56" max="56" width="17.85546875" customWidth="1"/>
    <col min="57" max="57" width="16.85546875" customWidth="1"/>
    <col min="59" max="59" width="12.7109375" customWidth="1"/>
    <col min="60" max="60" width="12.42578125" customWidth="1"/>
    <col min="61" max="61" width="19.28515625" customWidth="1"/>
    <col min="75" max="75" width="20.85546875" customWidth="1"/>
    <col min="76" max="76" width="12.42578125" customWidth="1"/>
    <col min="77" max="80" width="23.28515625" customWidth="1"/>
    <col min="81" max="81" width="20.5703125" customWidth="1"/>
    <col min="82" max="82" width="26" customWidth="1"/>
    <col min="83" max="83" width="17.5703125" customWidth="1"/>
    <col min="84" max="84" width="20.28515625" customWidth="1"/>
    <col min="85" max="85" width="24.5703125" customWidth="1"/>
    <col min="86" max="86" width="16.5703125" customWidth="1"/>
    <col min="87" max="87" width="16.7109375" customWidth="1"/>
    <col min="89" max="89" width="13.7109375" customWidth="1"/>
    <col min="94" max="94" width="12.85546875" customWidth="1"/>
    <col min="96" max="96" width="12.5703125" customWidth="1"/>
    <col min="97" max="97" width="21.28515625" customWidth="1"/>
    <col min="98" max="98" width="15" customWidth="1"/>
    <col min="99" max="99" width="29.7109375" customWidth="1"/>
    <col min="105" max="105" width="18" customWidth="1"/>
    <col min="107" max="107" width="15.7109375" customWidth="1"/>
    <col min="108" max="108" width="19.5703125" customWidth="1"/>
    <col min="110" max="110" width="15.140625" customWidth="1"/>
    <col min="111" max="111" width="19.5703125" customWidth="1"/>
    <col min="112" max="112" width="20.7109375" customWidth="1"/>
    <col min="113" max="113" width="19" customWidth="1"/>
  </cols>
  <sheetData>
    <row r="1" spans="1:113" x14ac:dyDescent="0.25">
      <c r="A1" t="s">
        <v>71</v>
      </c>
      <c r="B1" t="s">
        <v>72</v>
      </c>
      <c r="C1" t="s">
        <v>73</v>
      </c>
      <c r="D1" t="s">
        <v>74</v>
      </c>
      <c r="E1" t="s">
        <v>75</v>
      </c>
      <c r="F1" t="s">
        <v>23</v>
      </c>
      <c r="G1" t="s">
        <v>76</v>
      </c>
      <c r="H1" t="s">
        <v>77</v>
      </c>
      <c r="I1" t="s">
        <v>78</v>
      </c>
      <c r="J1" t="s">
        <v>79</v>
      </c>
      <c r="K1" t="s">
        <v>27</v>
      </c>
      <c r="L1" t="s">
        <v>28</v>
      </c>
      <c r="M1" t="s">
        <v>29</v>
      </c>
      <c r="N1" t="s">
        <v>58</v>
      </c>
      <c r="O1" t="s">
        <v>31</v>
      </c>
      <c r="P1" t="s">
        <v>80</v>
      </c>
      <c r="Q1" t="s">
        <v>81</v>
      </c>
      <c r="R1" t="s">
        <v>2</v>
      </c>
      <c r="S1" t="s">
        <v>82</v>
      </c>
      <c r="T1" t="s">
        <v>4</v>
      </c>
      <c r="U1" t="s">
        <v>5</v>
      </c>
      <c r="V1" t="s">
        <v>6</v>
      </c>
      <c r="W1" t="s">
        <v>83</v>
      </c>
      <c r="X1" t="s">
        <v>8</v>
      </c>
      <c r="Y1" t="s">
        <v>9</v>
      </c>
      <c r="Z1" t="s">
        <v>11</v>
      </c>
      <c r="AA1" t="s">
        <v>12</v>
      </c>
      <c r="AB1" t="s">
        <v>84</v>
      </c>
      <c r="AC1" t="s">
        <v>14</v>
      </c>
      <c r="AD1" t="s">
        <v>15</v>
      </c>
      <c r="AE1" t="s">
        <v>16</v>
      </c>
      <c r="AF1" t="s">
        <v>17</v>
      </c>
      <c r="AG1" t="s">
        <v>18</v>
      </c>
      <c r="AH1" t="s">
        <v>85</v>
      </c>
      <c r="AI1" t="s">
        <v>86</v>
      </c>
      <c r="AJ1" t="s">
        <v>87</v>
      </c>
      <c r="AK1" t="s">
        <v>88</v>
      </c>
      <c r="AL1" t="s">
        <v>33</v>
      </c>
      <c r="AM1" t="s">
        <v>34</v>
      </c>
      <c r="AN1" t="s">
        <v>35</v>
      </c>
      <c r="AO1" t="s">
        <v>89</v>
      </c>
      <c r="AP1" t="s">
        <v>90</v>
      </c>
      <c r="AQ1" t="s">
        <v>91</v>
      </c>
      <c r="AR1" t="s">
        <v>92</v>
      </c>
      <c r="AS1" t="s">
        <v>93</v>
      </c>
      <c r="AT1" t="s">
        <v>94</v>
      </c>
      <c r="AU1" t="s">
        <v>95</v>
      </c>
      <c r="AV1" t="s">
        <v>42</v>
      </c>
      <c r="AW1" t="s">
        <v>43</v>
      </c>
      <c r="AX1" t="s">
        <v>44</v>
      </c>
      <c r="AY1" t="s">
        <v>45</v>
      </c>
      <c r="AZ1" t="s">
        <v>46</v>
      </c>
      <c r="BA1" t="s">
        <v>47</v>
      </c>
      <c r="BB1" t="s">
        <v>49</v>
      </c>
      <c r="BC1" t="s">
        <v>50</v>
      </c>
      <c r="BD1" t="s">
        <v>51</v>
      </c>
      <c r="BE1" t="s">
        <v>96</v>
      </c>
      <c r="BF1" t="s">
        <v>53</v>
      </c>
      <c r="BG1" t="s">
        <v>97</v>
      </c>
      <c r="BH1" t="s">
        <v>98</v>
      </c>
      <c r="BI1" t="s">
        <v>54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106</v>
      </c>
      <c r="BR1" t="s">
        <v>107</v>
      </c>
      <c r="BS1" t="s">
        <v>108</v>
      </c>
      <c r="BT1" t="s">
        <v>109</v>
      </c>
      <c r="BU1" t="s">
        <v>110</v>
      </c>
      <c r="BV1" t="s">
        <v>111</v>
      </c>
      <c r="BW1" t="s">
        <v>112</v>
      </c>
      <c r="BX1" t="s">
        <v>113</v>
      </c>
      <c r="BY1" t="s">
        <v>114</v>
      </c>
      <c r="BZ1" t="s">
        <v>115</v>
      </c>
      <c r="CA1" t="s">
        <v>116</v>
      </c>
      <c r="CB1" t="s">
        <v>117</v>
      </c>
      <c r="CC1" t="s">
        <v>118</v>
      </c>
      <c r="CD1" t="s">
        <v>119</v>
      </c>
      <c r="CE1" t="s">
        <v>120</v>
      </c>
      <c r="CF1" t="s">
        <v>121</v>
      </c>
      <c r="CG1" t="s">
        <v>122</v>
      </c>
      <c r="CH1" t="s">
        <v>123</v>
      </c>
      <c r="CI1" t="s">
        <v>59</v>
      </c>
      <c r="CJ1" t="s">
        <v>60</v>
      </c>
      <c r="CK1" t="s">
        <v>124</v>
      </c>
      <c r="CL1" t="s">
        <v>61</v>
      </c>
      <c r="CM1" t="s">
        <v>62</v>
      </c>
      <c r="CN1" t="s">
        <v>63</v>
      </c>
      <c r="CO1" t="s">
        <v>64</v>
      </c>
      <c r="CP1" t="s">
        <v>125</v>
      </c>
      <c r="CQ1" t="s">
        <v>65</v>
      </c>
      <c r="CR1" t="s">
        <v>66</v>
      </c>
      <c r="CS1" t="s">
        <v>67</v>
      </c>
      <c r="CT1" t="s">
        <v>68</v>
      </c>
      <c r="CU1" t="s">
        <v>126</v>
      </c>
      <c r="CV1" t="s">
        <v>127</v>
      </c>
      <c r="CW1" t="s">
        <v>128</v>
      </c>
      <c r="CX1" t="s">
        <v>129</v>
      </c>
      <c r="CY1" t="s">
        <v>130</v>
      </c>
      <c r="CZ1" t="s">
        <v>131</v>
      </c>
      <c r="DA1" t="s">
        <v>132</v>
      </c>
      <c r="DB1" t="s">
        <v>133</v>
      </c>
      <c r="DC1" t="s">
        <v>134</v>
      </c>
      <c r="DD1" t="s">
        <v>135</v>
      </c>
      <c r="DE1" t="s">
        <v>136</v>
      </c>
      <c r="DF1" t="s">
        <v>137</v>
      </c>
      <c r="DG1" t="s">
        <v>138</v>
      </c>
      <c r="DH1" t="s">
        <v>139</v>
      </c>
      <c r="DI1" t="s">
        <v>140</v>
      </c>
    </row>
    <row r="2" spans="1:113" x14ac:dyDescent="0.25">
      <c r="A2" s="165">
        <v>43585</v>
      </c>
      <c r="B2">
        <v>50728442338</v>
      </c>
      <c r="C2">
        <v>986970000</v>
      </c>
      <c r="D2">
        <v>51715412338</v>
      </c>
      <c r="E2" s="165">
        <v>43585</v>
      </c>
      <c r="F2">
        <v>4</v>
      </c>
      <c r="G2">
        <v>41</v>
      </c>
      <c r="H2">
        <v>0</v>
      </c>
      <c r="I2">
        <v>77</v>
      </c>
      <c r="J2">
        <v>85</v>
      </c>
      <c r="K2">
        <v>0</v>
      </c>
      <c r="L2">
        <v>895</v>
      </c>
      <c r="M2">
        <v>895</v>
      </c>
      <c r="N2">
        <v>895</v>
      </c>
      <c r="O2" t="s">
        <v>141</v>
      </c>
      <c r="P2">
        <v>8055</v>
      </c>
      <c r="Q2" s="165">
        <v>43585</v>
      </c>
      <c r="R2">
        <v>15</v>
      </c>
      <c r="S2">
        <v>15</v>
      </c>
      <c r="T2">
        <v>15</v>
      </c>
      <c r="U2">
        <v>15</v>
      </c>
      <c r="V2">
        <v>15</v>
      </c>
      <c r="W2">
        <v>15</v>
      </c>
      <c r="X2">
        <v>15</v>
      </c>
      <c r="Y2">
        <v>15</v>
      </c>
      <c r="Z2">
        <v>15</v>
      </c>
      <c r="AA2">
        <v>15</v>
      </c>
      <c r="AB2">
        <v>15</v>
      </c>
      <c r="AC2">
        <v>15</v>
      </c>
      <c r="AD2">
        <v>15</v>
      </c>
      <c r="AE2">
        <v>15</v>
      </c>
      <c r="AF2">
        <v>15</v>
      </c>
      <c r="AG2">
        <v>15</v>
      </c>
      <c r="AH2">
        <v>15</v>
      </c>
      <c r="AI2">
        <v>255</v>
      </c>
      <c r="AJ2" s="165">
        <v>43585</v>
      </c>
      <c r="AK2">
        <v>45</v>
      </c>
      <c r="AL2">
        <v>45</v>
      </c>
      <c r="AM2">
        <v>45</v>
      </c>
      <c r="AN2">
        <v>45</v>
      </c>
      <c r="AO2">
        <v>45</v>
      </c>
      <c r="AP2">
        <v>45</v>
      </c>
      <c r="AQ2">
        <v>45</v>
      </c>
      <c r="AR2">
        <v>45</v>
      </c>
      <c r="AS2">
        <v>45</v>
      </c>
      <c r="AT2">
        <v>405</v>
      </c>
      <c r="AU2" s="165">
        <v>43585</v>
      </c>
      <c r="AV2">
        <v>45</v>
      </c>
      <c r="AW2">
        <v>45</v>
      </c>
      <c r="AX2">
        <v>45</v>
      </c>
      <c r="AY2">
        <v>45</v>
      </c>
      <c r="AZ2">
        <v>45</v>
      </c>
      <c r="BA2">
        <v>45</v>
      </c>
      <c r="BB2">
        <v>45</v>
      </c>
      <c r="BC2">
        <v>45</v>
      </c>
      <c r="BD2">
        <v>45</v>
      </c>
      <c r="BE2">
        <v>45</v>
      </c>
      <c r="BF2">
        <v>45</v>
      </c>
      <c r="BG2">
        <v>495</v>
      </c>
      <c r="BH2" s="165">
        <v>43585</v>
      </c>
      <c r="BI2">
        <v>745</v>
      </c>
      <c r="BJ2">
        <v>745</v>
      </c>
      <c r="BK2">
        <v>745</v>
      </c>
      <c r="BM2">
        <v>745</v>
      </c>
      <c r="BN2">
        <v>745</v>
      </c>
      <c r="BO2">
        <v>745</v>
      </c>
      <c r="BQ2">
        <v>745</v>
      </c>
      <c r="BR2">
        <v>745</v>
      </c>
      <c r="BS2">
        <v>745</v>
      </c>
      <c r="BT2">
        <v>745</v>
      </c>
      <c r="BU2">
        <v>745</v>
      </c>
      <c r="BV2">
        <v>745</v>
      </c>
      <c r="BW2">
        <v>8940</v>
      </c>
      <c r="BX2" s="165">
        <v>43585</v>
      </c>
      <c r="BY2">
        <v>81</v>
      </c>
      <c r="BZ2">
        <v>81</v>
      </c>
      <c r="CA2">
        <v>81</v>
      </c>
      <c r="CB2">
        <v>81</v>
      </c>
      <c r="CC2">
        <v>81</v>
      </c>
      <c r="CD2">
        <v>81</v>
      </c>
      <c r="CE2">
        <v>81</v>
      </c>
      <c r="CF2">
        <v>81</v>
      </c>
      <c r="CG2">
        <v>81</v>
      </c>
      <c r="CH2">
        <v>81</v>
      </c>
      <c r="CI2">
        <v>81</v>
      </c>
      <c r="CJ2">
        <v>81</v>
      </c>
      <c r="CK2">
        <v>81</v>
      </c>
      <c r="CL2">
        <v>81</v>
      </c>
      <c r="CM2">
        <v>81</v>
      </c>
      <c r="CN2">
        <v>81</v>
      </c>
      <c r="CO2">
        <v>81</v>
      </c>
      <c r="CP2">
        <v>81</v>
      </c>
      <c r="CQ2">
        <v>81</v>
      </c>
      <c r="CR2">
        <v>81</v>
      </c>
      <c r="CS2">
        <v>81</v>
      </c>
      <c r="CT2">
        <v>81</v>
      </c>
      <c r="CU2">
        <v>81</v>
      </c>
      <c r="CV2">
        <v>81</v>
      </c>
      <c r="CW2">
        <v>81</v>
      </c>
      <c r="CX2">
        <v>81</v>
      </c>
      <c r="CY2">
        <v>81</v>
      </c>
      <c r="CZ2">
        <v>81</v>
      </c>
      <c r="DA2">
        <v>2268</v>
      </c>
      <c r="DB2">
        <v>745</v>
      </c>
      <c r="DC2">
        <v>700</v>
      </c>
      <c r="DD2">
        <v>45</v>
      </c>
      <c r="DE2">
        <v>745</v>
      </c>
      <c r="DF2">
        <v>730</v>
      </c>
      <c r="DG2">
        <v>15</v>
      </c>
      <c r="DH2" s="165">
        <v>43558</v>
      </c>
      <c r="DI2" s="165">
        <v>43585</v>
      </c>
    </row>
    <row r="3" spans="1:113" x14ac:dyDescent="0.25">
      <c r="A3" s="165">
        <v>43615</v>
      </c>
      <c r="B3">
        <v>50734928698</v>
      </c>
      <c r="C3">
        <v>989120000</v>
      </c>
      <c r="D3">
        <v>51724048698</v>
      </c>
      <c r="E3" s="165">
        <v>43615</v>
      </c>
      <c r="F3">
        <v>66</v>
      </c>
      <c r="G3">
        <v>1</v>
      </c>
      <c r="H3">
        <v>58</v>
      </c>
      <c r="I3">
        <v>1</v>
      </c>
      <c r="J3">
        <v>58</v>
      </c>
      <c r="K3">
        <v>58</v>
      </c>
      <c r="L3">
        <v>58</v>
      </c>
      <c r="M3">
        <v>58</v>
      </c>
      <c r="N3">
        <v>58</v>
      </c>
      <c r="O3" t="s">
        <v>141</v>
      </c>
      <c r="P3">
        <v>522</v>
      </c>
      <c r="Q3" s="165">
        <v>43615</v>
      </c>
      <c r="R3">
        <v>78</v>
      </c>
      <c r="S3">
        <v>78</v>
      </c>
      <c r="T3">
        <v>78</v>
      </c>
      <c r="U3">
        <v>78</v>
      </c>
      <c r="V3">
        <v>78</v>
      </c>
      <c r="W3">
        <v>78</v>
      </c>
      <c r="X3">
        <v>78</v>
      </c>
      <c r="Y3">
        <v>78</v>
      </c>
      <c r="Z3">
        <v>78</v>
      </c>
      <c r="AA3">
        <v>78</v>
      </c>
      <c r="AB3">
        <v>78</v>
      </c>
      <c r="AC3">
        <v>78</v>
      </c>
      <c r="AD3">
        <v>78</v>
      </c>
      <c r="AE3">
        <v>78</v>
      </c>
      <c r="AF3">
        <v>78</v>
      </c>
      <c r="AG3">
        <v>78</v>
      </c>
      <c r="AH3">
        <v>78</v>
      </c>
      <c r="AI3">
        <v>1326</v>
      </c>
      <c r="AJ3" s="165">
        <v>43615</v>
      </c>
      <c r="AK3">
        <v>14</v>
      </c>
      <c r="AL3">
        <v>14</v>
      </c>
      <c r="AM3">
        <v>14</v>
      </c>
      <c r="AN3">
        <v>14</v>
      </c>
      <c r="AO3">
        <v>14</v>
      </c>
      <c r="AP3">
        <v>14</v>
      </c>
      <c r="AQ3">
        <v>14</v>
      </c>
      <c r="AR3">
        <v>14</v>
      </c>
      <c r="AS3">
        <v>14</v>
      </c>
      <c r="AT3">
        <v>126</v>
      </c>
      <c r="AU3" s="165">
        <v>43615</v>
      </c>
      <c r="AV3">
        <v>925</v>
      </c>
      <c r="AW3">
        <v>925</v>
      </c>
      <c r="AX3">
        <v>925</v>
      </c>
      <c r="AY3">
        <v>925</v>
      </c>
      <c r="AZ3">
        <v>925</v>
      </c>
      <c r="BA3">
        <v>925</v>
      </c>
      <c r="BB3">
        <v>925</v>
      </c>
      <c r="BC3">
        <v>925</v>
      </c>
      <c r="BD3">
        <v>925</v>
      </c>
      <c r="BE3">
        <v>925</v>
      </c>
      <c r="BF3">
        <v>925</v>
      </c>
      <c r="BG3">
        <v>10175</v>
      </c>
      <c r="BH3" s="165">
        <v>43615</v>
      </c>
      <c r="BI3">
        <v>45</v>
      </c>
      <c r="BJ3">
        <v>45</v>
      </c>
      <c r="BK3">
        <v>45</v>
      </c>
      <c r="BM3">
        <v>45</v>
      </c>
      <c r="BN3">
        <v>45</v>
      </c>
      <c r="BO3">
        <v>45</v>
      </c>
      <c r="BQ3">
        <v>45</v>
      </c>
      <c r="BR3">
        <v>45</v>
      </c>
      <c r="BS3">
        <v>45</v>
      </c>
      <c r="BT3">
        <v>45</v>
      </c>
      <c r="BU3">
        <v>45</v>
      </c>
      <c r="BV3">
        <v>45</v>
      </c>
      <c r="BW3">
        <v>540</v>
      </c>
      <c r="BX3" s="165">
        <v>43615</v>
      </c>
      <c r="BY3">
        <v>76</v>
      </c>
      <c r="BZ3">
        <v>76</v>
      </c>
      <c r="CA3">
        <v>76</v>
      </c>
      <c r="CB3">
        <v>76</v>
      </c>
      <c r="CC3">
        <v>76</v>
      </c>
      <c r="CD3">
        <v>76</v>
      </c>
      <c r="CE3">
        <v>76</v>
      </c>
      <c r="CF3">
        <v>76</v>
      </c>
      <c r="CG3">
        <v>76</v>
      </c>
      <c r="CH3">
        <v>76</v>
      </c>
      <c r="CI3">
        <v>76</v>
      </c>
      <c r="CJ3">
        <v>76</v>
      </c>
      <c r="CK3">
        <v>76</v>
      </c>
      <c r="CL3">
        <v>76</v>
      </c>
      <c r="CM3">
        <v>76</v>
      </c>
      <c r="CN3">
        <v>76</v>
      </c>
      <c r="CO3">
        <v>76</v>
      </c>
      <c r="CP3">
        <v>76</v>
      </c>
      <c r="CQ3">
        <v>76</v>
      </c>
      <c r="CR3">
        <v>76</v>
      </c>
      <c r="CS3">
        <v>76</v>
      </c>
      <c r="CT3">
        <v>76</v>
      </c>
      <c r="CU3">
        <v>76</v>
      </c>
      <c r="CV3">
        <v>76</v>
      </c>
      <c r="CW3">
        <v>76</v>
      </c>
      <c r="CX3">
        <v>76</v>
      </c>
      <c r="CY3">
        <v>76</v>
      </c>
      <c r="CZ3">
        <v>76</v>
      </c>
      <c r="DA3">
        <v>2128</v>
      </c>
      <c r="DB3">
        <v>45</v>
      </c>
      <c r="DC3">
        <v>44</v>
      </c>
      <c r="DD3">
        <v>1</v>
      </c>
      <c r="DE3">
        <v>45</v>
      </c>
      <c r="DF3">
        <v>20</v>
      </c>
      <c r="DG3">
        <v>25</v>
      </c>
      <c r="DH3" s="165">
        <v>43615</v>
      </c>
      <c r="DI3" s="165">
        <v>43615</v>
      </c>
    </row>
    <row r="9" spans="1:113" x14ac:dyDescent="0.25">
      <c r="E9">
        <v>15</v>
      </c>
      <c r="F9">
        <f>RANK(E9,$E$9:$E$17)</f>
        <v>7</v>
      </c>
    </row>
    <row r="10" spans="1:113" x14ac:dyDescent="0.25">
      <c r="E10">
        <v>125</v>
      </c>
      <c r="F10">
        <f t="shared" ref="F10:F17" si="0">RANK(E10,$E$9:$E$17)</f>
        <v>4</v>
      </c>
    </row>
    <row r="11" spans="1:113" x14ac:dyDescent="0.25">
      <c r="E11">
        <v>125</v>
      </c>
      <c r="F11">
        <f t="shared" si="0"/>
        <v>4</v>
      </c>
    </row>
    <row r="12" spans="1:113" x14ac:dyDescent="0.25">
      <c r="E12">
        <v>254</v>
      </c>
      <c r="F12">
        <f t="shared" si="0"/>
        <v>3</v>
      </c>
    </row>
    <row r="13" spans="1:113" x14ac:dyDescent="0.25">
      <c r="E13">
        <v>45454</v>
      </c>
      <c r="F13">
        <f t="shared" si="0"/>
        <v>1</v>
      </c>
    </row>
    <row r="14" spans="1:113" x14ac:dyDescent="0.25">
      <c r="E14">
        <v>4541</v>
      </c>
      <c r="F14">
        <f t="shared" si="0"/>
        <v>2</v>
      </c>
    </row>
    <row r="15" spans="1:113" x14ac:dyDescent="0.25">
      <c r="E15">
        <v>2</v>
      </c>
      <c r="F15">
        <f t="shared" si="0"/>
        <v>9</v>
      </c>
    </row>
    <row r="16" spans="1:113" x14ac:dyDescent="0.25">
      <c r="E16">
        <v>45</v>
      </c>
      <c r="F16">
        <f t="shared" si="0"/>
        <v>6</v>
      </c>
    </row>
    <row r="17" spans="5:6" x14ac:dyDescent="0.25">
      <c r="E17">
        <v>4</v>
      </c>
      <c r="F17">
        <f t="shared" si="0"/>
        <v>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3CE0-A237-4BD3-9496-992149585795}">
  <sheetPr codeName="Feuil11">
    <tabColor theme="5" tint="-0.249977111117893"/>
  </sheetPr>
  <dimension ref="A1:IR51"/>
  <sheetViews>
    <sheetView zoomScale="80" zoomScaleNormal="80" workbookViewId="0">
      <selection activeCell="EQ5" sqref="EQ5:ER51"/>
    </sheetView>
  </sheetViews>
  <sheetFormatPr baseColWidth="10" defaultColWidth="11.42578125" defaultRowHeight="15" x14ac:dyDescent="0.25"/>
  <cols>
    <col min="1" max="1" width="2.7109375" style="22" customWidth="1"/>
    <col min="2" max="2" width="21.5703125" hidden="1" customWidth="1"/>
    <col min="3" max="3" width="24.5703125" hidden="1" customWidth="1"/>
    <col min="4" max="4" width="23.5703125" hidden="1" customWidth="1"/>
    <col min="5" max="5" width="22.7109375" hidden="1" customWidth="1"/>
    <col min="6" max="6" width="2.7109375" style="22" hidden="1" customWidth="1"/>
    <col min="7" max="7" width="21.5703125" hidden="1" customWidth="1"/>
    <col min="8" max="8" width="11.7109375" hidden="1" customWidth="1"/>
    <col min="9" max="9" width="16" hidden="1" customWidth="1"/>
    <col min="10" max="11" width="11.7109375" hidden="1" customWidth="1"/>
    <col min="12" max="12" width="20.5703125" hidden="1" customWidth="1"/>
    <col min="13" max="13" width="17.42578125" hidden="1" customWidth="1"/>
    <col min="14" max="14" width="2.7109375" style="22" hidden="1" customWidth="1"/>
    <col min="15" max="15" width="21.5703125" hidden="1" customWidth="1"/>
    <col min="16" max="16" width="23.5703125" hidden="1" customWidth="1"/>
    <col min="17" max="17" width="22.7109375" hidden="1" customWidth="1"/>
    <col min="18" max="18" width="24.5703125" hidden="1" customWidth="1"/>
    <col min="19" max="19" width="2.7109375" style="22" hidden="1" customWidth="1"/>
    <col min="20" max="20" width="21.5703125" hidden="1" customWidth="1"/>
    <col min="21" max="21" width="11.7109375" hidden="1" customWidth="1"/>
    <col min="22" max="22" width="16" hidden="1" customWidth="1"/>
    <col min="23" max="24" width="11.7109375" hidden="1" customWidth="1"/>
    <col min="25" max="25" width="20.5703125" hidden="1" customWidth="1"/>
    <col min="26" max="26" width="17.42578125" hidden="1" customWidth="1"/>
    <col min="27" max="27" width="2.7109375" style="22" hidden="1" customWidth="1"/>
    <col min="28" max="28" width="21.5703125" hidden="1" customWidth="1"/>
    <col min="29" max="29" width="9.28515625" hidden="1" customWidth="1"/>
    <col min="30" max="30" width="14.85546875" hidden="1" customWidth="1"/>
    <col min="31" max="31" width="18.7109375" hidden="1" customWidth="1"/>
    <col min="32" max="32" width="20.85546875" style="22" hidden="1" customWidth="1"/>
    <col min="33" max="33" width="21.5703125" hidden="1" customWidth="1"/>
    <col min="34" max="34" width="9.28515625" hidden="1" customWidth="1"/>
    <col min="35" max="35" width="14.85546875" hidden="1" customWidth="1"/>
    <col min="36" max="36" width="18.7109375" hidden="1" customWidth="1"/>
    <col min="37" max="37" width="2.7109375" style="22" hidden="1" customWidth="1"/>
    <col min="38" max="38" width="21.5703125" hidden="1" customWidth="1"/>
    <col min="39" max="39" width="9.28515625" hidden="1" customWidth="1"/>
    <col min="40" max="40" width="14.28515625" hidden="1" customWidth="1"/>
    <col min="41" max="41" width="18.7109375" hidden="1" customWidth="1"/>
    <col min="42" max="42" width="2.7109375" style="22" hidden="1" customWidth="1"/>
    <col min="43" max="43" width="21.5703125" hidden="1" customWidth="1"/>
    <col min="44" max="44" width="9.28515625" hidden="1" customWidth="1"/>
    <col min="45" max="45" width="14.28515625" hidden="1" customWidth="1"/>
    <col min="46" max="46" width="18.7109375" hidden="1" customWidth="1"/>
    <col min="47" max="47" width="2.7109375" style="22" hidden="1" customWidth="1"/>
    <col min="48" max="48" width="21.5703125" hidden="1" customWidth="1"/>
    <col min="49" max="49" width="11.28515625" hidden="1" customWidth="1"/>
    <col min="50" max="50" width="11.42578125" hidden="1" customWidth="1"/>
    <col min="51" max="51" width="14.85546875" hidden="1" customWidth="1"/>
    <col min="52" max="52" width="6.7109375" hidden="1" customWidth="1"/>
    <col min="53" max="53" width="10.5703125" hidden="1" customWidth="1"/>
    <col min="54" max="54" width="28.140625" hidden="1" customWidth="1"/>
    <col min="55" max="55" width="35.85546875" hidden="1" customWidth="1"/>
    <col min="56" max="56" width="11.42578125" hidden="1" customWidth="1"/>
    <col min="57" max="57" width="18.85546875" hidden="1" customWidth="1"/>
    <col min="58" max="58" width="18.42578125" hidden="1" customWidth="1"/>
    <col min="59" max="59" width="19.140625" hidden="1" customWidth="1"/>
    <col min="60" max="60" width="22" hidden="1" customWidth="1"/>
    <col min="61" max="61" width="27.28515625" hidden="1" customWidth="1"/>
    <col min="62" max="62" width="5.140625" hidden="1" customWidth="1"/>
    <col min="63" max="63" width="17.140625" hidden="1" customWidth="1"/>
    <col min="64" max="64" width="25.85546875" hidden="1" customWidth="1"/>
    <col min="65" max="65" width="30.140625" hidden="1" customWidth="1"/>
    <col min="66" max="66" width="21.85546875" hidden="1" customWidth="1"/>
    <col min="67" max="67" width="20.5703125" hidden="1" customWidth="1"/>
    <col min="68" max="68" width="14.42578125" hidden="1" customWidth="1"/>
    <col min="69" max="69" width="16.5703125" hidden="1" customWidth="1"/>
    <col min="70" max="70" width="24.140625" hidden="1" customWidth="1"/>
    <col min="71" max="71" width="41.28515625" hidden="1" customWidth="1"/>
    <col min="72" max="72" width="19.140625" hidden="1" customWidth="1"/>
    <col min="73" max="73" width="9.85546875" hidden="1" customWidth="1"/>
    <col min="74" max="74" width="10.140625" hidden="1" customWidth="1"/>
    <col min="75" max="75" width="18.5703125" hidden="1" customWidth="1"/>
    <col min="76" max="76" width="7.7109375" hidden="1" customWidth="1"/>
    <col min="77" max="77" width="8.7109375" hidden="1" customWidth="1"/>
    <col min="78" max="78" width="25.28515625" hidden="1" customWidth="1"/>
    <col min="79" max="79" width="20.42578125" hidden="1" customWidth="1"/>
    <col min="80" max="80" width="16.5703125" hidden="1" customWidth="1"/>
    <col min="81" max="81" width="11.28515625" hidden="1" customWidth="1"/>
    <col min="82" max="82" width="10.28515625" hidden="1" customWidth="1"/>
    <col min="83" max="83" width="15.5703125" hidden="1" customWidth="1"/>
    <col min="84" max="84" width="17.7109375" hidden="1" customWidth="1"/>
    <col min="85" max="86" width="21.28515625" hidden="1" customWidth="1"/>
    <col min="87" max="87" width="25.28515625" hidden="1" customWidth="1"/>
    <col min="88" max="88" width="18.140625" hidden="1" customWidth="1"/>
    <col min="89" max="89" width="23.5703125" hidden="1" customWidth="1"/>
    <col min="90" max="90" width="14.42578125" hidden="1" customWidth="1"/>
    <col min="91" max="91" width="22.140625" hidden="1" customWidth="1"/>
    <col min="92" max="92" width="14.85546875" hidden="1" customWidth="1"/>
    <col min="93" max="93" width="16.7109375" hidden="1" customWidth="1"/>
    <col min="94" max="94" width="15.5703125" hidden="1" customWidth="1"/>
    <col min="95" max="95" width="10.28515625" hidden="1" customWidth="1"/>
    <col min="96" max="96" width="3.140625" style="22" hidden="1" customWidth="1"/>
    <col min="97" max="97" width="21.5703125" hidden="1" customWidth="1"/>
    <col min="98" max="98" width="11.28515625" hidden="1" customWidth="1"/>
    <col min="99" max="99" width="11.42578125" hidden="1" customWidth="1"/>
    <col min="100" max="100" width="14.85546875" hidden="1" customWidth="1"/>
    <col min="101" max="101" width="6.7109375" hidden="1" customWidth="1"/>
    <col min="102" max="102" width="10.5703125" hidden="1" customWidth="1"/>
    <col min="103" max="103" width="28.140625" hidden="1" customWidth="1"/>
    <col min="104" max="104" width="35.85546875" hidden="1" customWidth="1"/>
    <col min="105" max="105" width="11.42578125" hidden="1" customWidth="1"/>
    <col min="106" max="106" width="18.85546875" hidden="1" customWidth="1"/>
    <col min="107" max="107" width="18.42578125" hidden="1" customWidth="1"/>
    <col min="108" max="108" width="19.140625" hidden="1" customWidth="1"/>
    <col min="109" max="109" width="22" hidden="1" customWidth="1"/>
    <col min="110" max="110" width="27.28515625" hidden="1" customWidth="1"/>
    <col min="111" max="111" width="5.140625" hidden="1" customWidth="1"/>
    <col min="112" max="112" width="17.140625" hidden="1" customWidth="1"/>
    <col min="113" max="113" width="19.42578125" hidden="1" customWidth="1"/>
    <col min="114" max="114" width="30.140625" hidden="1" customWidth="1"/>
    <col min="115" max="115" width="21.85546875" hidden="1" customWidth="1"/>
    <col min="116" max="116" width="20.5703125" hidden="1" customWidth="1"/>
    <col min="117" max="117" width="14.42578125" hidden="1" customWidth="1"/>
    <col min="118" max="118" width="16.5703125" hidden="1" customWidth="1"/>
    <col min="119" max="119" width="24.140625" hidden="1" customWidth="1"/>
    <col min="120" max="120" width="41.28515625" hidden="1" customWidth="1"/>
    <col min="121" max="121" width="19.140625" hidden="1" customWidth="1"/>
    <col min="122" max="122" width="9.85546875" hidden="1" customWidth="1"/>
    <col min="123" max="123" width="10.140625" hidden="1" customWidth="1"/>
    <col min="124" max="124" width="18.5703125" hidden="1" customWidth="1"/>
    <col min="125" max="125" width="7.7109375" hidden="1" customWidth="1"/>
    <col min="126" max="126" width="8.7109375" hidden="1" customWidth="1"/>
    <col min="127" max="127" width="25.28515625" hidden="1" customWidth="1"/>
    <col min="128" max="128" width="20.42578125" hidden="1" customWidth="1"/>
    <col min="129" max="129" width="16.5703125" hidden="1" customWidth="1"/>
    <col min="130" max="130" width="11.28515625" hidden="1" customWidth="1"/>
    <col min="131" max="131" width="10.28515625" hidden="1" customWidth="1"/>
    <col min="132" max="132" width="15.5703125" hidden="1" customWidth="1"/>
    <col min="133" max="133" width="17.7109375" hidden="1" customWidth="1"/>
    <col min="134" max="135" width="21.28515625" hidden="1" customWidth="1"/>
    <col min="136" max="136" width="25.28515625" hidden="1" customWidth="1"/>
    <col min="137" max="137" width="18.140625" hidden="1" customWidth="1"/>
    <col min="138" max="138" width="23.5703125" hidden="1" customWidth="1"/>
    <col min="139" max="139" width="14.42578125" hidden="1" customWidth="1"/>
    <col min="140" max="140" width="22.140625" hidden="1" customWidth="1"/>
    <col min="141" max="141" width="14.85546875" hidden="1" customWidth="1"/>
    <col min="142" max="142" width="16.7109375" hidden="1" customWidth="1"/>
    <col min="143" max="143" width="15.5703125" hidden="1" customWidth="1"/>
    <col min="144" max="144" width="7.7109375" hidden="1" customWidth="1"/>
    <col min="145" max="145" width="7.140625" style="22" hidden="1" customWidth="1"/>
    <col min="146" max="146" width="5.140625" customWidth="1"/>
    <col min="147" max="147" width="53.42578125" bestFit="1" customWidth="1"/>
    <col min="148" max="148" width="24.85546875" bestFit="1" customWidth="1"/>
    <col min="149" max="149" width="13.28515625" hidden="1" customWidth="1"/>
    <col min="150" max="150" width="4.140625" style="22" customWidth="1"/>
    <col min="151" max="151" width="13.28515625" hidden="1" customWidth="1"/>
    <col min="152" max="152" width="41" bestFit="1" customWidth="1"/>
    <col min="153" max="153" width="27.140625" bestFit="1" customWidth="1"/>
    <col min="154" max="154" width="5" style="22" customWidth="1"/>
    <col min="155" max="155" width="21.5703125" hidden="1" customWidth="1"/>
    <col min="156" max="156" width="18.5703125" hidden="1" customWidth="1"/>
    <col min="157" max="166" width="5" hidden="1" customWidth="1"/>
    <col min="167" max="167" width="5" style="166" hidden="1" customWidth="1"/>
    <col min="168" max="168" width="4.7109375" style="22" hidden="1" customWidth="1"/>
    <col min="169" max="169" width="21.5703125" hidden="1" customWidth="1"/>
    <col min="170" max="170" width="18.5703125" hidden="1" customWidth="1"/>
    <col min="171" max="181" width="5" hidden="1" customWidth="1"/>
    <col min="182" max="182" width="4.42578125" style="22" hidden="1" customWidth="1"/>
    <col min="183" max="183" width="11.42578125" style="149"/>
    <col min="184" max="184" width="12" customWidth="1"/>
    <col min="185" max="185" width="4.5703125" style="22" customWidth="1"/>
    <col min="186" max="186" width="11.42578125" style="197"/>
    <col min="187" max="187" width="13.7109375" customWidth="1"/>
    <col min="188" max="188" width="4.5703125" style="22" customWidth="1"/>
    <col min="189" max="189" width="21.5703125" hidden="1" customWidth="1"/>
    <col min="190" max="193" width="22.28515625" hidden="1" customWidth="1"/>
    <col min="194" max="194" width="18.7109375" hidden="1" customWidth="1"/>
    <col min="195" max="195" width="24.140625" hidden="1" customWidth="1"/>
    <col min="196" max="196" width="15.42578125" hidden="1" customWidth="1"/>
    <col min="197" max="197" width="18.28515625" hidden="1" customWidth="1"/>
    <col min="198" max="198" width="22.7109375" hidden="1" customWidth="1"/>
    <col min="199" max="199" width="15" hidden="1" customWidth="1"/>
    <col min="200" max="200" width="15.5703125" hidden="1" customWidth="1"/>
    <col min="201" max="201" width="7.140625" hidden="1" customWidth="1"/>
    <col min="202" max="202" width="11.7109375" hidden="1" customWidth="1"/>
    <col min="203" max="203" width="9.42578125" hidden="1" customWidth="1"/>
    <col min="204" max="204" width="7.28515625" hidden="1" customWidth="1"/>
    <col min="205" max="205" width="7.85546875" hidden="1" customWidth="1"/>
    <col min="206" max="206" width="6.7109375" hidden="1" customWidth="1"/>
    <col min="207" max="207" width="10.85546875" hidden="1" customWidth="1"/>
    <col min="208" max="208" width="7.85546875" hidden="1" customWidth="1"/>
    <col min="209" max="209" width="11.42578125" hidden="1" customWidth="1"/>
    <col min="210" max="210" width="20" hidden="1" customWidth="1"/>
    <col min="211" max="211" width="13.7109375" hidden="1" customWidth="1"/>
    <col min="212" max="212" width="28.7109375" hidden="1" customWidth="1"/>
    <col min="213" max="216" width="9.28515625" hidden="1" customWidth="1"/>
    <col min="217" max="217" width="5.5703125" style="22" hidden="1" customWidth="1"/>
    <col min="218" max="218" width="21.5703125" hidden="1" customWidth="1"/>
    <col min="219" max="222" width="22.28515625" hidden="1" customWidth="1"/>
    <col min="223" max="223" width="18.7109375" hidden="1" customWidth="1"/>
    <col min="224" max="224" width="24.140625" hidden="1" customWidth="1"/>
    <col min="225" max="225" width="15.42578125" hidden="1" customWidth="1"/>
    <col min="226" max="226" width="18.28515625" hidden="1" customWidth="1"/>
    <col min="227" max="227" width="22.7109375" hidden="1" customWidth="1"/>
    <col min="228" max="228" width="15" hidden="1" customWidth="1"/>
    <col min="229" max="229" width="15.5703125" hidden="1" customWidth="1"/>
    <col min="230" max="230" width="7.140625" hidden="1" customWidth="1"/>
    <col min="231" max="231" width="11.7109375" hidden="1" customWidth="1"/>
    <col min="232" max="232" width="9.42578125" hidden="1" customWidth="1"/>
    <col min="233" max="233" width="7.28515625" hidden="1" customWidth="1"/>
    <col min="234" max="234" width="7.85546875" hidden="1" customWidth="1"/>
    <col min="235" max="235" width="6.7109375" hidden="1" customWidth="1"/>
    <col min="236" max="236" width="10.85546875" hidden="1" customWidth="1"/>
    <col min="237" max="237" width="7.85546875" hidden="1" customWidth="1"/>
    <col min="238" max="238" width="0" hidden="1" customWidth="1"/>
    <col min="239" max="239" width="20" hidden="1" customWidth="1"/>
    <col min="240" max="240" width="13.7109375" hidden="1" customWidth="1"/>
    <col min="241" max="241" width="28.7109375" hidden="1" customWidth="1"/>
    <col min="242" max="245" width="9.28515625" hidden="1" customWidth="1"/>
    <col min="246" max="246" width="5.7109375" style="22" hidden="1" customWidth="1"/>
    <col min="247" max="247" width="28.7109375" bestFit="1" customWidth="1"/>
    <col min="248" max="248" width="17.7109375" customWidth="1"/>
    <col min="249" max="249" width="5.85546875" style="22" customWidth="1"/>
    <col min="250" max="250" width="31.5703125" bestFit="1" customWidth="1"/>
    <col min="251" max="251" width="19.42578125" customWidth="1"/>
    <col min="252" max="252" width="4.42578125" style="22" customWidth="1"/>
  </cols>
  <sheetData>
    <row r="1" spans="2:251" x14ac:dyDescent="0.25">
      <c r="B1" s="283" t="s">
        <v>142</v>
      </c>
      <c r="C1" s="283"/>
      <c r="D1" s="283"/>
      <c r="E1" s="283"/>
      <c r="G1" s="282" t="s">
        <v>143</v>
      </c>
      <c r="H1" s="282"/>
      <c r="I1" s="282"/>
      <c r="J1" s="282"/>
      <c r="K1" s="282"/>
      <c r="L1" s="282"/>
      <c r="M1" s="282"/>
      <c r="O1" s="284" t="s">
        <v>144</v>
      </c>
      <c r="P1" s="284"/>
      <c r="Q1" s="284"/>
      <c r="R1" s="284"/>
      <c r="T1" s="284" t="s">
        <v>144</v>
      </c>
      <c r="U1" s="284"/>
      <c r="V1" s="284"/>
      <c r="W1" s="284"/>
      <c r="X1" s="284"/>
      <c r="Y1" s="284"/>
      <c r="Z1" s="284"/>
      <c r="AB1" s="282" t="s">
        <v>143</v>
      </c>
      <c r="AC1" s="282"/>
      <c r="AD1" s="282"/>
      <c r="AE1" s="282"/>
      <c r="AG1" s="281"/>
      <c r="AH1" s="281"/>
      <c r="AI1" s="281"/>
      <c r="AJ1" s="281"/>
      <c r="AL1" s="283" t="s">
        <v>143</v>
      </c>
      <c r="AM1" s="283"/>
      <c r="AN1" s="283"/>
      <c r="AO1" s="283"/>
      <c r="AQ1" s="284" t="s">
        <v>144</v>
      </c>
      <c r="AR1" s="284"/>
      <c r="AS1" s="284"/>
      <c r="AT1" s="284"/>
      <c r="AV1" s="283" t="s">
        <v>143</v>
      </c>
      <c r="AW1" s="283"/>
      <c r="AX1" s="283"/>
      <c r="AY1" s="283"/>
      <c r="AZ1" s="283"/>
      <c r="BA1" s="283"/>
      <c r="BB1" s="283"/>
      <c r="BC1" s="283"/>
      <c r="BD1" s="283"/>
      <c r="BE1" s="283"/>
      <c r="BF1" s="283"/>
      <c r="BG1" s="283"/>
      <c r="BH1" s="283"/>
      <c r="BI1" s="283"/>
      <c r="BJ1" s="283"/>
      <c r="BK1" s="283"/>
      <c r="BL1" s="283"/>
      <c r="BM1" s="283"/>
      <c r="BN1" s="283"/>
      <c r="BO1" s="283"/>
      <c r="BP1" s="283"/>
      <c r="BQ1" s="283"/>
      <c r="BR1" s="283"/>
      <c r="BS1" s="283"/>
      <c r="BT1" s="283"/>
      <c r="BU1" s="283"/>
      <c r="BV1" s="283"/>
      <c r="BW1" s="283"/>
      <c r="BX1" s="283"/>
      <c r="BY1" s="283"/>
      <c r="BZ1" s="283"/>
      <c r="CA1" s="283"/>
      <c r="CB1" s="283"/>
      <c r="CC1" s="283"/>
      <c r="CD1" s="283"/>
      <c r="CE1" s="283"/>
      <c r="CF1" s="283"/>
      <c r="CG1" s="283"/>
      <c r="CH1" s="283"/>
      <c r="CI1" s="283"/>
      <c r="CJ1" s="283"/>
      <c r="CK1" s="283"/>
      <c r="CL1" s="283"/>
      <c r="CM1" s="283"/>
      <c r="CN1" s="283"/>
      <c r="CO1" s="283"/>
      <c r="CP1" s="283"/>
      <c r="CQ1" s="283"/>
      <c r="CS1" s="281" t="s">
        <v>144</v>
      </c>
      <c r="CT1" s="281"/>
      <c r="CU1" s="281"/>
      <c r="CV1" s="281"/>
      <c r="CW1" s="281"/>
      <c r="CX1" s="281"/>
      <c r="CY1" s="281"/>
      <c r="CZ1" s="281"/>
      <c r="DA1" s="281"/>
      <c r="DB1" s="281"/>
      <c r="DC1" s="281"/>
      <c r="DD1" s="281"/>
      <c r="DE1" s="281"/>
      <c r="DF1" s="281"/>
      <c r="DG1" s="281"/>
      <c r="DH1" s="281"/>
      <c r="DI1" s="281"/>
      <c r="DJ1" s="281"/>
      <c r="DK1" s="281"/>
      <c r="DL1" s="281"/>
      <c r="DM1" s="281"/>
      <c r="DN1" s="281"/>
      <c r="DO1" s="281"/>
      <c r="DP1" s="281"/>
      <c r="DQ1" s="281"/>
      <c r="DR1" s="281"/>
      <c r="DS1" s="281"/>
      <c r="DT1" s="281"/>
      <c r="DU1" s="281"/>
      <c r="DV1" s="281"/>
      <c r="DW1" s="281"/>
      <c r="DX1" s="281"/>
      <c r="DY1" s="281"/>
      <c r="DZ1" s="281"/>
      <c r="EA1" s="281"/>
      <c r="EB1" s="281"/>
      <c r="EC1" s="281"/>
      <c r="ED1" s="281"/>
      <c r="EE1" s="281"/>
      <c r="EF1" s="281"/>
      <c r="EG1" s="281"/>
      <c r="EH1" s="281"/>
      <c r="EI1" s="281"/>
      <c r="EJ1" s="281"/>
      <c r="EK1" s="281"/>
      <c r="EL1" s="281"/>
      <c r="EM1" s="281"/>
      <c r="EN1" s="281"/>
      <c r="EO1" s="168"/>
      <c r="EP1" s="167"/>
      <c r="EQ1" s="282"/>
      <c r="ER1" s="282"/>
      <c r="ES1" s="169"/>
      <c r="ET1" s="168"/>
      <c r="EU1" s="169"/>
      <c r="EV1" s="281"/>
      <c r="EW1" s="281"/>
      <c r="EX1" s="168"/>
      <c r="EY1" s="282" t="s">
        <v>143</v>
      </c>
      <c r="EZ1" s="282"/>
      <c r="FA1" s="282"/>
      <c r="FB1" s="282"/>
      <c r="FC1" s="282"/>
      <c r="FD1" s="282"/>
      <c r="FE1" s="282"/>
      <c r="FF1" s="282"/>
      <c r="FG1" s="282"/>
      <c r="FH1" s="282"/>
      <c r="FI1" s="282"/>
      <c r="FJ1" s="282"/>
      <c r="FK1" s="282"/>
      <c r="FM1" s="281" t="s">
        <v>144</v>
      </c>
      <c r="FN1" s="281"/>
      <c r="FO1" s="281"/>
      <c r="FP1" s="281"/>
      <c r="FQ1" s="281"/>
      <c r="FR1" s="281"/>
      <c r="FS1" s="281"/>
      <c r="FT1" s="281"/>
      <c r="FU1" s="281"/>
      <c r="FV1" s="281"/>
      <c r="FW1" s="281"/>
      <c r="FX1" s="281"/>
      <c r="FY1" s="281"/>
      <c r="GG1" s="282" t="s">
        <v>143</v>
      </c>
      <c r="GH1" s="282"/>
      <c r="GI1" s="282"/>
      <c r="GJ1" s="282"/>
      <c r="GK1" s="282"/>
      <c r="GL1" s="282"/>
      <c r="GM1" s="282"/>
      <c r="GN1" s="282"/>
      <c r="GO1" s="282"/>
      <c r="GP1" s="282"/>
      <c r="GQ1" s="282"/>
      <c r="GR1" s="282"/>
      <c r="GS1" s="282"/>
      <c r="GT1" s="282"/>
      <c r="GU1" s="282"/>
      <c r="GV1" s="282"/>
      <c r="GW1" s="282"/>
      <c r="GX1" s="282"/>
      <c r="GY1" s="282"/>
      <c r="GZ1" s="282"/>
      <c r="HA1" s="282"/>
      <c r="HB1" s="282"/>
      <c r="HC1" s="282"/>
      <c r="HD1" s="282"/>
      <c r="HE1" s="282"/>
      <c r="HF1" s="282"/>
      <c r="HG1" s="282"/>
      <c r="HH1" s="282"/>
      <c r="HJ1" s="281" t="s">
        <v>144</v>
      </c>
      <c r="HK1" s="281"/>
      <c r="HL1" s="281"/>
      <c r="HM1" s="281"/>
      <c r="HN1" s="281"/>
      <c r="HO1" s="281"/>
      <c r="HP1" s="281"/>
      <c r="HQ1" s="281"/>
      <c r="HR1" s="281"/>
      <c r="HS1" s="281"/>
      <c r="HT1" s="281"/>
      <c r="HU1" s="281"/>
      <c r="HV1" s="281"/>
      <c r="HW1" s="281"/>
      <c r="HX1" s="281"/>
      <c r="HY1" s="281"/>
      <c r="HZ1" s="281"/>
      <c r="IA1" s="281"/>
      <c r="IB1" s="281"/>
      <c r="IC1" s="281"/>
      <c r="ID1" s="281"/>
      <c r="IE1" s="281"/>
      <c r="IF1" s="281"/>
      <c r="IG1" s="281"/>
      <c r="IH1" s="281"/>
      <c r="II1" s="281"/>
      <c r="IJ1" s="281"/>
      <c r="IK1" s="281"/>
    </row>
    <row r="2" spans="2:251" x14ac:dyDescent="0.25">
      <c r="B2" s="139" t="s">
        <v>145</v>
      </c>
      <c r="C2" t="s">
        <v>146</v>
      </c>
      <c r="D2" t="s">
        <v>147</v>
      </c>
      <c r="E2" t="s">
        <v>148</v>
      </c>
      <c r="G2" s="139" t="s">
        <v>145</v>
      </c>
      <c r="H2" t="s">
        <v>149</v>
      </c>
      <c r="I2" t="s">
        <v>150</v>
      </c>
      <c r="J2" t="s">
        <v>151</v>
      </c>
      <c r="K2" t="s">
        <v>152</v>
      </c>
      <c r="L2" t="s">
        <v>153</v>
      </c>
      <c r="M2" t="s">
        <v>154</v>
      </c>
      <c r="O2" s="139" t="s">
        <v>145</v>
      </c>
      <c r="P2" t="s">
        <v>147</v>
      </c>
      <c r="Q2" t="s">
        <v>148</v>
      </c>
      <c r="R2" t="s">
        <v>146</v>
      </c>
      <c r="T2" s="139" t="s">
        <v>145</v>
      </c>
      <c r="U2" t="s">
        <v>149</v>
      </c>
      <c r="V2" t="s">
        <v>150</v>
      </c>
      <c r="W2" t="s">
        <v>151</v>
      </c>
      <c r="X2" t="s">
        <v>152</v>
      </c>
      <c r="Y2" t="s">
        <v>153</v>
      </c>
      <c r="Z2" t="s">
        <v>154</v>
      </c>
      <c r="AB2" s="139" t="s">
        <v>145</v>
      </c>
      <c r="AC2" t="s">
        <v>155</v>
      </c>
      <c r="AD2" t="s">
        <v>156</v>
      </c>
      <c r="AE2" t="s">
        <v>157</v>
      </c>
      <c r="AF2" t="s">
        <v>158</v>
      </c>
      <c r="AG2" s="139" t="s">
        <v>145</v>
      </c>
      <c r="AH2" t="s">
        <v>155</v>
      </c>
      <c r="AI2" t="s">
        <v>156</v>
      </c>
      <c r="AJ2" t="s">
        <v>157</v>
      </c>
      <c r="AL2" s="139" t="s">
        <v>145</v>
      </c>
      <c r="AM2" t="s">
        <v>159</v>
      </c>
      <c r="AN2" t="s">
        <v>160</v>
      </c>
      <c r="AO2" t="s">
        <v>161</v>
      </c>
      <c r="AQ2" s="139" t="s">
        <v>145</v>
      </c>
      <c r="AR2" t="s">
        <v>159</v>
      </c>
      <c r="AS2" t="s">
        <v>160</v>
      </c>
      <c r="AT2" t="s">
        <v>161</v>
      </c>
    </row>
    <row r="3" spans="2:251" x14ac:dyDescent="0.25">
      <c r="B3" s="150">
        <v>43585</v>
      </c>
      <c r="C3" s="140">
        <v>51715412338</v>
      </c>
      <c r="D3" s="140">
        <v>50728442338</v>
      </c>
      <c r="E3" s="140">
        <v>986970000</v>
      </c>
      <c r="G3" s="189">
        <v>43585</v>
      </c>
      <c r="H3" s="140">
        <v>440</v>
      </c>
      <c r="I3" s="140">
        <v>183</v>
      </c>
      <c r="J3" s="140">
        <v>298</v>
      </c>
      <c r="K3" s="140">
        <v>468</v>
      </c>
      <c r="L3" s="140">
        <v>590</v>
      </c>
      <c r="M3" s="140">
        <v>1332</v>
      </c>
      <c r="O3" s="150" t="s">
        <v>162</v>
      </c>
      <c r="P3" s="140">
        <v>50728442338</v>
      </c>
      <c r="Q3" s="140">
        <v>986970000</v>
      </c>
      <c r="R3" s="140">
        <v>51715412338</v>
      </c>
      <c r="T3" s="150">
        <v>43585</v>
      </c>
      <c r="U3" s="140">
        <v>440</v>
      </c>
      <c r="V3" s="140">
        <v>183</v>
      </c>
      <c r="W3" s="140">
        <v>298</v>
      </c>
      <c r="X3" s="140">
        <v>468</v>
      </c>
      <c r="Y3" s="140">
        <v>590</v>
      </c>
      <c r="Z3" s="140">
        <v>1332</v>
      </c>
      <c r="AB3" s="150">
        <v>43585</v>
      </c>
      <c r="AC3" s="140">
        <v>284</v>
      </c>
      <c r="AD3" s="140"/>
      <c r="AE3" s="140">
        <v>284</v>
      </c>
      <c r="AF3" s="140">
        <v>1</v>
      </c>
      <c r="AG3" s="150">
        <v>43585</v>
      </c>
      <c r="AH3" s="140">
        <v>284</v>
      </c>
      <c r="AI3" s="140"/>
      <c r="AJ3" s="140">
        <v>284</v>
      </c>
      <c r="AL3" s="150">
        <v>43585</v>
      </c>
      <c r="AM3" s="140">
        <v>78</v>
      </c>
      <c r="AN3" s="140"/>
      <c r="AO3" s="140">
        <v>78</v>
      </c>
      <c r="AQ3" s="150">
        <v>43585</v>
      </c>
      <c r="AR3" s="140">
        <v>78</v>
      </c>
      <c r="AS3" s="140"/>
      <c r="AT3" s="140">
        <v>78</v>
      </c>
      <c r="AV3" s="139" t="s">
        <v>145</v>
      </c>
      <c r="AW3" t="s">
        <v>163</v>
      </c>
      <c r="AX3" t="s">
        <v>164</v>
      </c>
      <c r="AY3" t="s">
        <v>165</v>
      </c>
      <c r="AZ3" t="s">
        <v>166</v>
      </c>
      <c r="BA3" t="s">
        <v>167</v>
      </c>
      <c r="BB3" t="s">
        <v>168</v>
      </c>
      <c r="BC3" t="s">
        <v>169</v>
      </c>
      <c r="BD3" t="s">
        <v>170</v>
      </c>
      <c r="BE3" t="s">
        <v>171</v>
      </c>
      <c r="BF3" t="s">
        <v>172</v>
      </c>
      <c r="BG3" t="s">
        <v>173</v>
      </c>
      <c r="BH3" t="s">
        <v>174</v>
      </c>
      <c r="BI3" t="s">
        <v>175</v>
      </c>
      <c r="BJ3" t="s">
        <v>176</v>
      </c>
      <c r="BK3" t="s">
        <v>177</v>
      </c>
      <c r="BL3" t="s">
        <v>178</v>
      </c>
      <c r="BM3" t="s">
        <v>179</v>
      </c>
      <c r="BN3" t="s">
        <v>180</v>
      </c>
      <c r="BO3" t="s">
        <v>181</v>
      </c>
      <c r="BP3" t="s">
        <v>182</v>
      </c>
      <c r="BQ3" t="s">
        <v>183</v>
      </c>
      <c r="BR3" t="s">
        <v>184</v>
      </c>
      <c r="BS3" t="s">
        <v>185</v>
      </c>
      <c r="BT3" t="s">
        <v>186</v>
      </c>
      <c r="BU3" t="s">
        <v>38</v>
      </c>
      <c r="BV3" t="s">
        <v>187</v>
      </c>
      <c r="BW3" t="s">
        <v>188</v>
      </c>
      <c r="BX3" t="s">
        <v>189</v>
      </c>
      <c r="BY3" t="s">
        <v>190</v>
      </c>
      <c r="BZ3" t="s">
        <v>191</v>
      </c>
      <c r="CA3" t="s">
        <v>192</v>
      </c>
      <c r="CB3" t="s">
        <v>193</v>
      </c>
      <c r="CC3" t="s">
        <v>194</v>
      </c>
      <c r="CD3" t="s">
        <v>195</v>
      </c>
      <c r="CE3" t="s">
        <v>196</v>
      </c>
      <c r="CF3" t="s">
        <v>197</v>
      </c>
      <c r="CG3" t="s">
        <v>198</v>
      </c>
      <c r="CH3" t="s">
        <v>199</v>
      </c>
      <c r="CI3" t="s">
        <v>200</v>
      </c>
      <c r="CJ3" t="s">
        <v>201</v>
      </c>
      <c r="CK3" t="s">
        <v>202</v>
      </c>
      <c r="CL3" t="s">
        <v>203</v>
      </c>
      <c r="CM3" t="s">
        <v>204</v>
      </c>
      <c r="CN3" t="s">
        <v>205</v>
      </c>
      <c r="CO3" t="s">
        <v>206</v>
      </c>
      <c r="CP3" t="s">
        <v>207</v>
      </c>
      <c r="CQ3" t="s">
        <v>208</v>
      </c>
      <c r="CS3" s="139" t="s">
        <v>145</v>
      </c>
      <c r="CT3" t="s">
        <v>163</v>
      </c>
      <c r="CU3" t="s">
        <v>164</v>
      </c>
      <c r="CV3" t="s">
        <v>165</v>
      </c>
      <c r="CW3" t="s">
        <v>166</v>
      </c>
      <c r="CX3" t="s">
        <v>167</v>
      </c>
      <c r="CY3" t="s">
        <v>168</v>
      </c>
      <c r="CZ3" t="s">
        <v>169</v>
      </c>
      <c r="DA3" t="s">
        <v>170</v>
      </c>
      <c r="DB3" t="s">
        <v>171</v>
      </c>
      <c r="DC3" t="s">
        <v>172</v>
      </c>
      <c r="DD3" t="s">
        <v>173</v>
      </c>
      <c r="DE3" t="s">
        <v>174</v>
      </c>
      <c r="DF3" t="s">
        <v>175</v>
      </c>
      <c r="DG3" t="s">
        <v>176</v>
      </c>
      <c r="DH3" t="s">
        <v>177</v>
      </c>
      <c r="DI3" t="s">
        <v>209</v>
      </c>
      <c r="DJ3" t="s">
        <v>179</v>
      </c>
      <c r="DK3" t="s">
        <v>180</v>
      </c>
      <c r="DL3" t="s">
        <v>181</v>
      </c>
      <c r="DM3" t="s">
        <v>182</v>
      </c>
      <c r="DN3" t="s">
        <v>183</v>
      </c>
      <c r="DO3" t="s">
        <v>184</v>
      </c>
      <c r="DP3" t="s">
        <v>185</v>
      </c>
      <c r="DQ3" t="s">
        <v>186</v>
      </c>
      <c r="DR3" t="s">
        <v>38</v>
      </c>
      <c r="DS3" t="s">
        <v>187</v>
      </c>
      <c r="DT3" t="s">
        <v>188</v>
      </c>
      <c r="DU3" t="s">
        <v>189</v>
      </c>
      <c r="DV3" t="s">
        <v>190</v>
      </c>
      <c r="DW3" t="s">
        <v>191</v>
      </c>
      <c r="DX3" t="s">
        <v>192</v>
      </c>
      <c r="DY3" t="s">
        <v>193</v>
      </c>
      <c r="DZ3" t="s">
        <v>194</v>
      </c>
      <c r="EA3" t="s">
        <v>195</v>
      </c>
      <c r="EB3" t="s">
        <v>196</v>
      </c>
      <c r="EC3" t="s">
        <v>197</v>
      </c>
      <c r="ED3" t="s">
        <v>198</v>
      </c>
      <c r="EE3" t="s">
        <v>199</v>
      </c>
      <c r="EF3" t="s">
        <v>200</v>
      </c>
      <c r="EG3" t="s">
        <v>201</v>
      </c>
      <c r="EH3" t="s">
        <v>202</v>
      </c>
      <c r="EI3" t="s">
        <v>203</v>
      </c>
      <c r="EJ3" t="s">
        <v>204</v>
      </c>
      <c r="EK3" t="s">
        <v>205</v>
      </c>
      <c r="EL3" t="s">
        <v>206</v>
      </c>
      <c r="EM3" t="s">
        <v>207</v>
      </c>
      <c r="EN3" t="s">
        <v>210</v>
      </c>
      <c r="IM3" t="s">
        <v>211</v>
      </c>
      <c r="IN3" t="s">
        <v>212</v>
      </c>
      <c r="IP3" t="s">
        <v>211</v>
      </c>
      <c r="IQ3" t="s">
        <v>213</v>
      </c>
    </row>
    <row r="4" spans="2:251" x14ac:dyDescent="0.25">
      <c r="B4" s="150">
        <v>43616</v>
      </c>
      <c r="C4" s="140">
        <v>51724048698</v>
      </c>
      <c r="D4" s="140">
        <v>50734928698</v>
      </c>
      <c r="E4" s="140">
        <v>989120000</v>
      </c>
      <c r="G4" s="189">
        <v>43616</v>
      </c>
      <c r="H4" s="140">
        <v>471</v>
      </c>
      <c r="I4" s="140">
        <v>191</v>
      </c>
      <c r="J4" s="140">
        <v>297</v>
      </c>
      <c r="K4" s="140">
        <v>518</v>
      </c>
      <c r="L4" s="140">
        <v>576</v>
      </c>
      <c r="M4" s="140">
        <v>1498</v>
      </c>
      <c r="O4" s="150" t="s">
        <v>214</v>
      </c>
      <c r="P4" s="140">
        <v>50734928698</v>
      </c>
      <c r="Q4" s="140">
        <v>989120000</v>
      </c>
      <c r="R4" s="140">
        <v>51724048698</v>
      </c>
      <c r="T4" s="150">
        <v>43616</v>
      </c>
      <c r="U4" s="140">
        <v>471</v>
      </c>
      <c r="V4" s="140">
        <v>191</v>
      </c>
      <c r="W4" s="140">
        <v>297</v>
      </c>
      <c r="X4" s="140">
        <v>518</v>
      </c>
      <c r="Y4" s="140">
        <v>576</v>
      </c>
      <c r="Z4" s="140">
        <v>1498</v>
      </c>
      <c r="AB4" s="150">
        <v>43616</v>
      </c>
      <c r="AC4" s="140">
        <v>280</v>
      </c>
      <c r="AD4" s="140"/>
      <c r="AE4" s="140">
        <v>280</v>
      </c>
      <c r="AF4" s="140">
        <v>1</v>
      </c>
      <c r="AG4" s="150">
        <v>43616</v>
      </c>
      <c r="AH4" s="140">
        <v>280</v>
      </c>
      <c r="AI4" s="140"/>
      <c r="AJ4" s="140">
        <v>280</v>
      </c>
      <c r="AL4" s="150">
        <v>43616</v>
      </c>
      <c r="AM4" s="140">
        <v>66</v>
      </c>
      <c r="AN4" s="140"/>
      <c r="AO4" s="140">
        <v>66</v>
      </c>
      <c r="AQ4" s="150">
        <v>43616</v>
      </c>
      <c r="AR4" s="140">
        <v>66</v>
      </c>
      <c r="AS4" s="140"/>
      <c r="AT4" s="140">
        <v>66</v>
      </c>
      <c r="AV4" s="150">
        <v>43585</v>
      </c>
      <c r="AW4" s="140">
        <v>0</v>
      </c>
      <c r="AX4" s="140">
        <v>47</v>
      </c>
      <c r="AY4" s="140">
        <v>1</v>
      </c>
      <c r="AZ4" s="140">
        <v>28</v>
      </c>
      <c r="BA4" s="140">
        <v>2</v>
      </c>
      <c r="BB4" s="140">
        <v>1</v>
      </c>
      <c r="BC4" s="140">
        <v>0</v>
      </c>
      <c r="BD4" s="140">
        <v>1</v>
      </c>
      <c r="BE4" s="140">
        <v>2</v>
      </c>
      <c r="BF4" s="140">
        <v>117</v>
      </c>
      <c r="BG4" s="140">
        <v>10</v>
      </c>
      <c r="BH4" s="140">
        <v>138</v>
      </c>
      <c r="BI4" s="140">
        <v>56</v>
      </c>
      <c r="BJ4" s="140">
        <v>6</v>
      </c>
      <c r="BK4" s="140">
        <v>9</v>
      </c>
      <c r="BL4" s="140">
        <v>19</v>
      </c>
      <c r="BM4" s="140">
        <v>4</v>
      </c>
      <c r="BN4" s="140">
        <v>0</v>
      </c>
      <c r="BO4" s="140">
        <v>256</v>
      </c>
      <c r="BP4" s="140">
        <v>0</v>
      </c>
      <c r="BQ4" s="140">
        <v>0</v>
      </c>
      <c r="BR4" s="140">
        <v>1</v>
      </c>
      <c r="BS4" s="140">
        <v>1</v>
      </c>
      <c r="BT4" s="140">
        <v>38</v>
      </c>
      <c r="BU4" s="140">
        <v>0</v>
      </c>
      <c r="BV4" s="140">
        <v>2</v>
      </c>
      <c r="BW4" s="140">
        <v>0</v>
      </c>
      <c r="BX4" s="140">
        <v>83</v>
      </c>
      <c r="BY4" s="140">
        <v>1</v>
      </c>
      <c r="BZ4" s="140">
        <v>16</v>
      </c>
      <c r="CA4" s="140">
        <v>15</v>
      </c>
      <c r="CB4" s="140">
        <v>36</v>
      </c>
      <c r="CC4" s="140">
        <v>1</v>
      </c>
      <c r="CD4" s="140">
        <v>8</v>
      </c>
      <c r="CE4" s="140">
        <v>11</v>
      </c>
      <c r="CF4" s="140">
        <v>5</v>
      </c>
      <c r="CG4" s="140">
        <v>235</v>
      </c>
      <c r="CH4" s="140">
        <v>0</v>
      </c>
      <c r="CI4" s="140">
        <v>1</v>
      </c>
      <c r="CJ4" s="140">
        <v>2</v>
      </c>
      <c r="CK4" s="140">
        <v>30</v>
      </c>
      <c r="CL4" s="140">
        <v>1</v>
      </c>
      <c r="CM4" s="140">
        <v>8</v>
      </c>
      <c r="CN4" s="140">
        <v>126</v>
      </c>
      <c r="CO4" s="140">
        <v>3</v>
      </c>
      <c r="CP4" s="140">
        <v>62</v>
      </c>
      <c r="CQ4" s="140">
        <v>0</v>
      </c>
      <c r="CS4" s="150">
        <v>43585</v>
      </c>
      <c r="CT4" s="140">
        <v>0</v>
      </c>
      <c r="CU4" s="140">
        <v>47</v>
      </c>
      <c r="CV4" s="140">
        <v>1</v>
      </c>
      <c r="CW4" s="140">
        <v>28</v>
      </c>
      <c r="CX4" s="140">
        <v>2</v>
      </c>
      <c r="CY4" s="140">
        <v>1</v>
      </c>
      <c r="CZ4" s="140">
        <v>0</v>
      </c>
      <c r="DA4" s="140">
        <v>1</v>
      </c>
      <c r="DB4" s="140">
        <v>2</v>
      </c>
      <c r="DC4" s="140">
        <v>117</v>
      </c>
      <c r="DD4" s="140">
        <v>10</v>
      </c>
      <c r="DE4" s="140">
        <v>138</v>
      </c>
      <c r="DF4" s="140">
        <v>56</v>
      </c>
      <c r="DG4" s="140">
        <v>6</v>
      </c>
      <c r="DH4" s="140">
        <v>9</v>
      </c>
      <c r="DI4" s="140">
        <v>19</v>
      </c>
      <c r="DJ4" s="140">
        <v>4</v>
      </c>
      <c r="DK4" s="140">
        <v>0</v>
      </c>
      <c r="DL4" s="140">
        <v>256</v>
      </c>
      <c r="DM4" s="140">
        <v>0</v>
      </c>
      <c r="DN4" s="140">
        <v>0</v>
      </c>
      <c r="DO4" s="140">
        <v>1</v>
      </c>
      <c r="DP4" s="140">
        <v>1</v>
      </c>
      <c r="DQ4" s="140">
        <v>38</v>
      </c>
      <c r="DR4" s="140">
        <v>0</v>
      </c>
      <c r="DS4" s="140">
        <v>2</v>
      </c>
      <c r="DT4" s="140">
        <v>0</v>
      </c>
      <c r="DU4" s="140">
        <v>83</v>
      </c>
      <c r="DV4" s="140">
        <v>1</v>
      </c>
      <c r="DW4" s="140">
        <v>16</v>
      </c>
      <c r="DX4" s="140">
        <v>15</v>
      </c>
      <c r="DY4" s="140">
        <v>36</v>
      </c>
      <c r="DZ4" s="140">
        <v>1</v>
      </c>
      <c r="EA4" s="140">
        <v>8</v>
      </c>
      <c r="EB4" s="140">
        <v>11</v>
      </c>
      <c r="EC4" s="140">
        <v>5</v>
      </c>
      <c r="ED4" s="140">
        <v>235</v>
      </c>
      <c r="EE4" s="140">
        <v>0</v>
      </c>
      <c r="EF4" s="140">
        <v>1</v>
      </c>
      <c r="EG4" s="140">
        <v>2</v>
      </c>
      <c r="EH4" s="140">
        <v>30</v>
      </c>
      <c r="EI4" s="140">
        <v>1</v>
      </c>
      <c r="EJ4" s="140">
        <v>8</v>
      </c>
      <c r="EK4" s="140">
        <v>126</v>
      </c>
      <c r="EL4" s="140">
        <v>3</v>
      </c>
      <c r="EM4" s="140">
        <v>62</v>
      </c>
      <c r="EN4" s="140">
        <v>0</v>
      </c>
      <c r="EQ4" t="s">
        <v>215</v>
      </c>
      <c r="ER4" t="s">
        <v>216</v>
      </c>
      <c r="EV4" t="s">
        <v>217</v>
      </c>
      <c r="EW4" t="s">
        <v>218</v>
      </c>
      <c r="EY4" s="139" t="s">
        <v>145</v>
      </c>
      <c r="EZ4" t="s">
        <v>219</v>
      </c>
      <c r="FA4" t="s">
        <v>220</v>
      </c>
      <c r="FB4" t="s">
        <v>221</v>
      </c>
      <c r="FC4" t="s">
        <v>222</v>
      </c>
      <c r="FD4" t="s">
        <v>223</v>
      </c>
      <c r="FE4" t="s">
        <v>224</v>
      </c>
      <c r="FF4" t="s">
        <v>225</v>
      </c>
      <c r="FG4" t="s">
        <v>226</v>
      </c>
      <c r="FH4" t="s">
        <v>227</v>
      </c>
      <c r="FI4" t="s">
        <v>228</v>
      </c>
      <c r="FJ4" t="s">
        <v>229</v>
      </c>
      <c r="FK4" t="s">
        <v>230</v>
      </c>
      <c r="FM4" s="139" t="s">
        <v>145</v>
      </c>
      <c r="FN4" t="s">
        <v>219</v>
      </c>
      <c r="FO4" t="s">
        <v>220</v>
      </c>
      <c r="FP4" t="s">
        <v>221</v>
      </c>
      <c r="FQ4" t="s">
        <v>222</v>
      </c>
      <c r="FR4" t="s">
        <v>223</v>
      </c>
      <c r="FS4" t="s">
        <v>224</v>
      </c>
      <c r="FT4" t="s">
        <v>225</v>
      </c>
      <c r="FU4" t="s">
        <v>226</v>
      </c>
      <c r="FV4" t="s">
        <v>227</v>
      </c>
      <c r="FW4" t="s">
        <v>228</v>
      </c>
      <c r="FX4" t="s">
        <v>229</v>
      </c>
      <c r="FY4" t="s">
        <v>230</v>
      </c>
      <c r="GA4" s="149" t="s">
        <v>231</v>
      </c>
      <c r="GB4" t="s">
        <v>232</v>
      </c>
      <c r="GD4" s="197" t="s">
        <v>231</v>
      </c>
      <c r="GE4" t="s">
        <v>233</v>
      </c>
      <c r="GG4" s="139" t="s">
        <v>145</v>
      </c>
      <c r="GH4" t="s">
        <v>234</v>
      </c>
      <c r="GI4" t="s">
        <v>235</v>
      </c>
      <c r="GJ4" t="s">
        <v>236</v>
      </c>
      <c r="GK4" t="s">
        <v>237</v>
      </c>
      <c r="GL4" t="s">
        <v>238</v>
      </c>
      <c r="GM4" t="s">
        <v>239</v>
      </c>
      <c r="GN4" t="s">
        <v>240</v>
      </c>
      <c r="GO4" t="s">
        <v>241</v>
      </c>
      <c r="GP4" t="s">
        <v>242</v>
      </c>
      <c r="GQ4" t="s">
        <v>243</v>
      </c>
      <c r="GR4" t="s">
        <v>244</v>
      </c>
      <c r="GS4" t="s">
        <v>245</v>
      </c>
      <c r="GT4" t="s">
        <v>246</v>
      </c>
      <c r="GU4" t="s">
        <v>247</v>
      </c>
      <c r="GV4" t="s">
        <v>248</v>
      </c>
      <c r="GW4" t="s">
        <v>249</v>
      </c>
      <c r="GX4" t="s">
        <v>250</v>
      </c>
      <c r="GY4" t="s">
        <v>251</v>
      </c>
      <c r="GZ4" t="s">
        <v>252</v>
      </c>
      <c r="HA4" t="s">
        <v>253</v>
      </c>
      <c r="HB4" t="s">
        <v>254</v>
      </c>
      <c r="HC4" t="s">
        <v>255</v>
      </c>
      <c r="HD4" t="s">
        <v>256</v>
      </c>
      <c r="HE4" t="s">
        <v>257</v>
      </c>
      <c r="HF4" t="s">
        <v>258</v>
      </c>
      <c r="HG4" t="s">
        <v>259</v>
      </c>
      <c r="HH4" t="s">
        <v>260</v>
      </c>
      <c r="HJ4" s="139" t="s">
        <v>145</v>
      </c>
      <c r="HK4" t="s">
        <v>234</v>
      </c>
      <c r="HL4" t="s">
        <v>235</v>
      </c>
      <c r="HM4" t="s">
        <v>236</v>
      </c>
      <c r="HN4" t="s">
        <v>237</v>
      </c>
      <c r="HO4" t="s">
        <v>238</v>
      </c>
      <c r="HP4" t="s">
        <v>239</v>
      </c>
      <c r="HQ4" t="s">
        <v>240</v>
      </c>
      <c r="HR4" t="s">
        <v>241</v>
      </c>
      <c r="HS4" t="s">
        <v>242</v>
      </c>
      <c r="HT4" t="s">
        <v>243</v>
      </c>
      <c r="HU4" t="s">
        <v>244</v>
      </c>
      <c r="HV4" t="s">
        <v>245</v>
      </c>
      <c r="HW4" t="s">
        <v>246</v>
      </c>
      <c r="HX4" t="s">
        <v>247</v>
      </c>
      <c r="HY4" t="s">
        <v>248</v>
      </c>
      <c r="HZ4" t="s">
        <v>249</v>
      </c>
      <c r="IA4" t="s">
        <v>250</v>
      </c>
      <c r="IB4" t="s">
        <v>251</v>
      </c>
      <c r="IC4" t="s">
        <v>252</v>
      </c>
      <c r="ID4" t="s">
        <v>253</v>
      </c>
      <c r="IE4" t="s">
        <v>254</v>
      </c>
      <c r="IF4" t="s">
        <v>255</v>
      </c>
      <c r="IG4" t="s">
        <v>256</v>
      </c>
      <c r="IH4" t="s">
        <v>257</v>
      </c>
      <c r="II4" t="s">
        <v>258</v>
      </c>
      <c r="IJ4" t="s">
        <v>259</v>
      </c>
      <c r="IK4" t="s">
        <v>260</v>
      </c>
      <c r="IM4" t="s">
        <v>114</v>
      </c>
      <c r="IN4">
        <f>GETPIVOTDATA(" Education   Nationale 1",$GG$4)</f>
        <v>1686</v>
      </c>
      <c r="IP4" t="s">
        <v>114</v>
      </c>
      <c r="IQ4">
        <f>GETPIVOTDATA(" Education   Nationale 1",$HJ$4)</f>
        <v>1686</v>
      </c>
    </row>
    <row r="5" spans="2:251" x14ac:dyDescent="0.25">
      <c r="B5" s="150" t="s">
        <v>261</v>
      </c>
      <c r="C5" s="140">
        <v>103439461036</v>
      </c>
      <c r="D5" s="140">
        <v>101463371036</v>
      </c>
      <c r="E5" s="140">
        <v>1976090000</v>
      </c>
      <c r="G5" s="149" t="s">
        <v>261</v>
      </c>
      <c r="H5" s="140">
        <v>911</v>
      </c>
      <c r="I5" s="140">
        <v>374</v>
      </c>
      <c r="J5" s="140">
        <v>595</v>
      </c>
      <c r="K5" s="140">
        <v>986</v>
      </c>
      <c r="L5" s="140">
        <v>1166</v>
      </c>
      <c r="M5" s="140">
        <v>2830</v>
      </c>
      <c r="O5" s="150" t="s">
        <v>261</v>
      </c>
      <c r="P5" s="140">
        <v>101463371036</v>
      </c>
      <c r="Q5" s="140">
        <v>1976090000</v>
      </c>
      <c r="R5" s="140">
        <v>103439461036</v>
      </c>
      <c r="T5" s="150" t="s">
        <v>261</v>
      </c>
      <c r="U5" s="140">
        <v>911</v>
      </c>
      <c r="V5" s="140">
        <v>374</v>
      </c>
      <c r="W5" s="140">
        <v>595</v>
      </c>
      <c r="X5" s="140">
        <v>986</v>
      </c>
      <c r="Y5" s="140">
        <v>1166</v>
      </c>
      <c r="Z5" s="140">
        <v>2830</v>
      </c>
      <c r="AB5" s="150" t="s">
        <v>261</v>
      </c>
      <c r="AC5" s="140">
        <v>564</v>
      </c>
      <c r="AD5" s="140"/>
      <c r="AE5" s="140">
        <v>564</v>
      </c>
      <c r="AF5" s="140">
        <v>2</v>
      </c>
      <c r="AG5" s="150" t="s">
        <v>261</v>
      </c>
      <c r="AH5" s="140">
        <v>564</v>
      </c>
      <c r="AI5" s="140"/>
      <c r="AJ5" s="140">
        <v>564</v>
      </c>
      <c r="AL5" s="150" t="s">
        <v>261</v>
      </c>
      <c r="AM5" s="140">
        <v>144</v>
      </c>
      <c r="AN5" s="140"/>
      <c r="AO5" s="140">
        <v>144</v>
      </c>
      <c r="AQ5" s="150" t="s">
        <v>261</v>
      </c>
      <c r="AR5" s="140">
        <v>144</v>
      </c>
      <c r="AS5" s="140"/>
      <c r="AT5" s="140">
        <v>144</v>
      </c>
      <c r="AV5" s="150">
        <v>43616</v>
      </c>
      <c r="AW5" s="140">
        <v>1</v>
      </c>
      <c r="AX5" s="140">
        <v>46</v>
      </c>
      <c r="AY5" s="140">
        <v>1</v>
      </c>
      <c r="AZ5" s="140">
        <v>28</v>
      </c>
      <c r="BA5" s="140">
        <v>2</v>
      </c>
      <c r="BB5" s="140">
        <v>1</v>
      </c>
      <c r="BC5" s="140">
        <v>0</v>
      </c>
      <c r="BD5" s="140">
        <v>1</v>
      </c>
      <c r="BE5" s="140">
        <v>2</v>
      </c>
      <c r="BF5" s="140">
        <v>125</v>
      </c>
      <c r="BG5" s="140">
        <v>14</v>
      </c>
      <c r="BH5" s="140">
        <v>140</v>
      </c>
      <c r="BI5" s="140">
        <v>66</v>
      </c>
      <c r="BJ5" s="140">
        <v>6</v>
      </c>
      <c r="BK5" s="140">
        <v>15</v>
      </c>
      <c r="BL5" s="140">
        <v>20</v>
      </c>
      <c r="BM5" s="140">
        <v>4</v>
      </c>
      <c r="BN5" s="140">
        <v>0</v>
      </c>
      <c r="BO5" s="140">
        <v>251</v>
      </c>
      <c r="BP5" s="140">
        <v>2</v>
      </c>
      <c r="BQ5" s="140">
        <v>2</v>
      </c>
      <c r="BR5" s="140">
        <v>1</v>
      </c>
      <c r="BS5" s="140">
        <v>1</v>
      </c>
      <c r="BT5" s="140">
        <v>38</v>
      </c>
      <c r="BU5" s="140">
        <v>0</v>
      </c>
      <c r="BV5" s="140">
        <v>2</v>
      </c>
      <c r="BW5" s="140">
        <v>0</v>
      </c>
      <c r="BX5" s="140">
        <v>87</v>
      </c>
      <c r="BY5" s="140">
        <v>4</v>
      </c>
      <c r="BZ5" s="140">
        <v>17</v>
      </c>
      <c r="CA5" s="140">
        <v>16</v>
      </c>
      <c r="CB5" s="140">
        <v>36</v>
      </c>
      <c r="CC5" s="140">
        <v>1</v>
      </c>
      <c r="CD5" s="140">
        <v>9</v>
      </c>
      <c r="CE5" s="140">
        <v>9</v>
      </c>
      <c r="CF5" s="140">
        <v>5</v>
      </c>
      <c r="CG5" s="140">
        <v>281</v>
      </c>
      <c r="CH5" s="140">
        <v>0</v>
      </c>
      <c r="CI5" s="140">
        <v>1</v>
      </c>
      <c r="CJ5" s="140">
        <v>2</v>
      </c>
      <c r="CK5" s="140">
        <v>31</v>
      </c>
      <c r="CL5" s="140">
        <v>1</v>
      </c>
      <c r="CM5" s="140">
        <v>8</v>
      </c>
      <c r="CN5" s="140">
        <v>128</v>
      </c>
      <c r="CO5" s="140">
        <v>3</v>
      </c>
      <c r="CP5" s="140">
        <v>63</v>
      </c>
      <c r="CQ5" s="140">
        <v>0</v>
      </c>
      <c r="CS5" s="150">
        <v>43616</v>
      </c>
      <c r="CT5" s="140">
        <v>1</v>
      </c>
      <c r="CU5" s="140">
        <v>46</v>
      </c>
      <c r="CV5" s="140">
        <v>1</v>
      </c>
      <c r="CW5" s="140">
        <v>28</v>
      </c>
      <c r="CX5" s="140">
        <v>2</v>
      </c>
      <c r="CY5" s="140">
        <v>1</v>
      </c>
      <c r="CZ5" s="140">
        <v>0</v>
      </c>
      <c r="DA5" s="140">
        <v>1</v>
      </c>
      <c r="DB5" s="140">
        <v>2</v>
      </c>
      <c r="DC5" s="140">
        <v>125</v>
      </c>
      <c r="DD5" s="140">
        <v>14</v>
      </c>
      <c r="DE5" s="140">
        <v>140</v>
      </c>
      <c r="DF5" s="140">
        <v>66</v>
      </c>
      <c r="DG5" s="140">
        <v>6</v>
      </c>
      <c r="DH5" s="140">
        <v>15</v>
      </c>
      <c r="DI5" s="140">
        <v>20</v>
      </c>
      <c r="DJ5" s="140">
        <v>4</v>
      </c>
      <c r="DK5" s="140">
        <v>0</v>
      </c>
      <c r="DL5" s="140">
        <v>251</v>
      </c>
      <c r="DM5" s="140">
        <v>2</v>
      </c>
      <c r="DN5" s="140">
        <v>2</v>
      </c>
      <c r="DO5" s="140">
        <v>1</v>
      </c>
      <c r="DP5" s="140">
        <v>1</v>
      </c>
      <c r="DQ5" s="140">
        <v>38</v>
      </c>
      <c r="DR5" s="140">
        <v>0</v>
      </c>
      <c r="DS5" s="140">
        <v>2</v>
      </c>
      <c r="DT5" s="140">
        <v>0</v>
      </c>
      <c r="DU5" s="140">
        <v>87</v>
      </c>
      <c r="DV5" s="140">
        <v>4</v>
      </c>
      <c r="DW5" s="140">
        <v>17</v>
      </c>
      <c r="DX5" s="140">
        <v>16</v>
      </c>
      <c r="DY5" s="140">
        <v>36</v>
      </c>
      <c r="DZ5" s="140">
        <v>1</v>
      </c>
      <c r="EA5" s="140">
        <v>9</v>
      </c>
      <c r="EB5" s="140">
        <v>9</v>
      </c>
      <c r="EC5" s="140">
        <v>5</v>
      </c>
      <c r="ED5" s="140">
        <v>281</v>
      </c>
      <c r="EE5" s="140">
        <v>0</v>
      </c>
      <c r="EF5" s="140">
        <v>1</v>
      </c>
      <c r="EG5" s="140">
        <v>2</v>
      </c>
      <c r="EH5" s="140">
        <v>31</v>
      </c>
      <c r="EI5" s="140">
        <v>1</v>
      </c>
      <c r="EJ5" s="140">
        <v>8</v>
      </c>
      <c r="EK5" s="140">
        <v>128</v>
      </c>
      <c r="EL5" s="140">
        <v>3</v>
      </c>
      <c r="EM5" s="140">
        <v>63</v>
      </c>
      <c r="EN5" s="140">
        <v>0</v>
      </c>
      <c r="EQ5" t="s">
        <v>198</v>
      </c>
      <c r="ER5">
        <f>GETPIVOTDATA(" Education Nationale 1",$AV$3)</f>
        <v>516</v>
      </c>
      <c r="EV5" t="s">
        <v>198</v>
      </c>
      <c r="EW5">
        <f>GETPIVOTDATA(" Education Nationale 1",$CS$3)</f>
        <v>516</v>
      </c>
      <c r="EY5" s="150">
        <v>43585</v>
      </c>
      <c r="EZ5" s="140">
        <v>0</v>
      </c>
      <c r="FA5" s="140">
        <v>0</v>
      </c>
      <c r="FB5" s="140">
        <v>2</v>
      </c>
      <c r="FC5" s="140">
        <v>2</v>
      </c>
      <c r="FD5" s="140">
        <v>0</v>
      </c>
      <c r="FE5" s="140">
        <v>252</v>
      </c>
      <c r="FF5" s="140">
        <v>26</v>
      </c>
      <c r="FG5" s="140">
        <v>10</v>
      </c>
      <c r="FH5" s="140">
        <v>4</v>
      </c>
      <c r="FI5" s="140">
        <v>291</v>
      </c>
      <c r="FJ5" s="140">
        <v>3</v>
      </c>
      <c r="FK5" s="140">
        <v>0</v>
      </c>
      <c r="FM5" s="150">
        <v>43585</v>
      </c>
      <c r="FN5" s="140">
        <v>0</v>
      </c>
      <c r="FO5" s="140">
        <v>0</v>
      </c>
      <c r="FP5" s="140">
        <v>2</v>
      </c>
      <c r="FQ5" s="140">
        <v>2</v>
      </c>
      <c r="FR5" s="140">
        <v>0</v>
      </c>
      <c r="FS5" s="140">
        <v>252</v>
      </c>
      <c r="FT5" s="140">
        <v>26</v>
      </c>
      <c r="FU5" s="140">
        <v>10</v>
      </c>
      <c r="FV5" s="140">
        <v>4</v>
      </c>
      <c r="FW5" s="140">
        <v>291</v>
      </c>
      <c r="FX5" s="140">
        <v>3</v>
      </c>
      <c r="FY5" s="140">
        <v>0</v>
      </c>
      <c r="GA5" s="196" t="s">
        <v>262</v>
      </c>
      <c r="GB5">
        <f>GETPIVOTDATA(" 195",$EY$4)</f>
        <v>578</v>
      </c>
      <c r="GD5" s="196" t="s">
        <v>262</v>
      </c>
      <c r="GE5">
        <f>GETPIVOTDATA(" 195",$FM$4)</f>
        <v>578</v>
      </c>
      <c r="GG5" s="150">
        <v>43585</v>
      </c>
      <c r="GH5" s="140">
        <v>781</v>
      </c>
      <c r="GI5" s="140">
        <v>0</v>
      </c>
      <c r="GJ5" s="140">
        <v>0</v>
      </c>
      <c r="GK5" s="140">
        <v>0</v>
      </c>
      <c r="GL5" s="140">
        <v>3</v>
      </c>
      <c r="GM5" s="140">
        <v>42</v>
      </c>
      <c r="GN5" s="140">
        <v>162</v>
      </c>
      <c r="GO5" s="140">
        <v>2</v>
      </c>
      <c r="GP5" s="140">
        <v>24</v>
      </c>
      <c r="GQ5" s="140">
        <v>0</v>
      </c>
      <c r="GR5" s="140">
        <v>6</v>
      </c>
      <c r="GS5" s="140">
        <v>0</v>
      </c>
      <c r="GT5" s="140">
        <v>0</v>
      </c>
      <c r="GU5" s="140">
        <v>0</v>
      </c>
      <c r="GV5" s="140">
        <v>2</v>
      </c>
      <c r="GW5" s="140"/>
      <c r="GX5" s="140">
        <v>0</v>
      </c>
      <c r="GY5" s="140">
        <v>5</v>
      </c>
      <c r="GZ5" s="140">
        <v>2</v>
      </c>
      <c r="HA5" s="140">
        <v>11</v>
      </c>
      <c r="HB5" s="140">
        <v>1</v>
      </c>
      <c r="HC5" s="140">
        <v>2</v>
      </c>
      <c r="HD5" s="140">
        <v>63</v>
      </c>
      <c r="HE5" s="140">
        <v>2</v>
      </c>
      <c r="HF5" s="140">
        <v>217</v>
      </c>
      <c r="HG5" s="140">
        <v>2</v>
      </c>
      <c r="HH5" s="140">
        <v>0</v>
      </c>
      <c r="HJ5" s="150">
        <v>43585</v>
      </c>
      <c r="HK5" s="140">
        <v>781</v>
      </c>
      <c r="HL5" s="140">
        <v>0</v>
      </c>
      <c r="HM5" s="140">
        <v>0</v>
      </c>
      <c r="HN5" s="140">
        <v>0</v>
      </c>
      <c r="HO5" s="140">
        <v>3</v>
      </c>
      <c r="HP5" s="140">
        <v>42</v>
      </c>
      <c r="HQ5" s="140">
        <v>162</v>
      </c>
      <c r="HR5" s="140">
        <v>2</v>
      </c>
      <c r="HS5" s="140">
        <v>24</v>
      </c>
      <c r="HT5" s="140">
        <v>0</v>
      </c>
      <c r="HU5" s="140">
        <v>6</v>
      </c>
      <c r="HV5" s="140">
        <v>0</v>
      </c>
      <c r="HW5" s="140">
        <v>0</v>
      </c>
      <c r="HX5" s="140">
        <v>0</v>
      </c>
      <c r="HY5" s="140">
        <v>2</v>
      </c>
      <c r="HZ5" s="140"/>
      <c r="IA5" s="140">
        <v>0</v>
      </c>
      <c r="IB5" s="140">
        <v>5</v>
      </c>
      <c r="IC5" s="140">
        <v>2</v>
      </c>
      <c r="ID5" s="140">
        <v>11</v>
      </c>
      <c r="IE5" s="140">
        <v>1</v>
      </c>
      <c r="IF5" s="140">
        <v>2</v>
      </c>
      <c r="IG5" s="140">
        <v>63</v>
      </c>
      <c r="IH5" s="140">
        <v>2</v>
      </c>
      <c r="II5" s="140">
        <v>217</v>
      </c>
      <c r="IJ5" s="140">
        <v>2</v>
      </c>
      <c r="IK5" s="140">
        <v>0</v>
      </c>
      <c r="IM5" t="s">
        <v>258</v>
      </c>
      <c r="IN5">
        <f>GETPIVOTDATA("BDC 184.",$GG$4)</f>
        <v>434</v>
      </c>
      <c r="IP5" t="s">
        <v>258</v>
      </c>
      <c r="IQ5">
        <f>GETPIVOTDATA("BDC 184.",$HJ$4)</f>
        <v>434</v>
      </c>
    </row>
    <row r="6" spans="2:251" x14ac:dyDescent="0.25">
      <c r="AF6"/>
      <c r="AV6" s="150" t="s">
        <v>261</v>
      </c>
      <c r="AW6" s="140">
        <v>1</v>
      </c>
      <c r="AX6" s="140">
        <v>93</v>
      </c>
      <c r="AY6" s="140">
        <v>2</v>
      </c>
      <c r="AZ6" s="140">
        <v>56</v>
      </c>
      <c r="BA6" s="140">
        <v>4</v>
      </c>
      <c r="BB6" s="140">
        <v>2</v>
      </c>
      <c r="BC6" s="140">
        <v>0</v>
      </c>
      <c r="BD6" s="140">
        <v>2</v>
      </c>
      <c r="BE6" s="140">
        <v>4</v>
      </c>
      <c r="BF6" s="140">
        <v>242</v>
      </c>
      <c r="BG6" s="140">
        <v>24</v>
      </c>
      <c r="BH6" s="140">
        <v>278</v>
      </c>
      <c r="BI6" s="140">
        <v>122</v>
      </c>
      <c r="BJ6" s="140">
        <v>12</v>
      </c>
      <c r="BK6" s="140">
        <v>24</v>
      </c>
      <c r="BL6" s="140">
        <v>39</v>
      </c>
      <c r="BM6" s="140">
        <v>8</v>
      </c>
      <c r="BN6" s="140">
        <v>0</v>
      </c>
      <c r="BO6" s="140">
        <v>507</v>
      </c>
      <c r="BP6" s="140">
        <v>2</v>
      </c>
      <c r="BQ6" s="140">
        <v>2</v>
      </c>
      <c r="BR6" s="140">
        <v>2</v>
      </c>
      <c r="BS6" s="140">
        <v>2</v>
      </c>
      <c r="BT6" s="140">
        <v>76</v>
      </c>
      <c r="BU6" s="140">
        <v>0</v>
      </c>
      <c r="BV6" s="140">
        <v>4</v>
      </c>
      <c r="BW6" s="140">
        <v>0</v>
      </c>
      <c r="BX6" s="140">
        <v>170</v>
      </c>
      <c r="BY6" s="140">
        <v>5</v>
      </c>
      <c r="BZ6" s="140">
        <v>33</v>
      </c>
      <c r="CA6" s="140">
        <v>31</v>
      </c>
      <c r="CB6" s="140">
        <v>72</v>
      </c>
      <c r="CC6" s="140">
        <v>2</v>
      </c>
      <c r="CD6" s="140">
        <v>17</v>
      </c>
      <c r="CE6" s="140">
        <v>20</v>
      </c>
      <c r="CF6" s="140">
        <v>10</v>
      </c>
      <c r="CG6" s="140">
        <v>516</v>
      </c>
      <c r="CH6" s="140">
        <v>0</v>
      </c>
      <c r="CI6" s="140">
        <v>2</v>
      </c>
      <c r="CJ6" s="140">
        <v>4</v>
      </c>
      <c r="CK6" s="140">
        <v>61</v>
      </c>
      <c r="CL6" s="140">
        <v>2</v>
      </c>
      <c r="CM6" s="140">
        <v>16</v>
      </c>
      <c r="CN6" s="140">
        <v>254</v>
      </c>
      <c r="CO6" s="140">
        <v>6</v>
      </c>
      <c r="CP6" s="140">
        <v>125</v>
      </c>
      <c r="CQ6" s="140">
        <v>0</v>
      </c>
      <c r="CS6" s="150" t="s">
        <v>261</v>
      </c>
      <c r="CT6" s="140">
        <v>1</v>
      </c>
      <c r="CU6" s="140">
        <v>93</v>
      </c>
      <c r="CV6" s="140">
        <v>2</v>
      </c>
      <c r="CW6" s="140">
        <v>56</v>
      </c>
      <c r="CX6" s="140">
        <v>4</v>
      </c>
      <c r="CY6" s="140">
        <v>2</v>
      </c>
      <c r="CZ6" s="140">
        <v>0</v>
      </c>
      <c r="DA6" s="140">
        <v>2</v>
      </c>
      <c r="DB6" s="140">
        <v>4</v>
      </c>
      <c r="DC6" s="140">
        <v>242</v>
      </c>
      <c r="DD6" s="140">
        <v>24</v>
      </c>
      <c r="DE6" s="140">
        <v>278</v>
      </c>
      <c r="DF6" s="140">
        <v>122</v>
      </c>
      <c r="DG6" s="140">
        <v>12</v>
      </c>
      <c r="DH6" s="140">
        <v>24</v>
      </c>
      <c r="DI6" s="140">
        <v>39</v>
      </c>
      <c r="DJ6" s="140">
        <v>8</v>
      </c>
      <c r="DK6" s="140">
        <v>0</v>
      </c>
      <c r="DL6" s="140">
        <v>507</v>
      </c>
      <c r="DM6" s="140">
        <v>2</v>
      </c>
      <c r="DN6" s="140">
        <v>2</v>
      </c>
      <c r="DO6" s="140">
        <v>2</v>
      </c>
      <c r="DP6" s="140">
        <v>2</v>
      </c>
      <c r="DQ6" s="140">
        <v>76</v>
      </c>
      <c r="DR6" s="140">
        <v>0</v>
      </c>
      <c r="DS6" s="140">
        <v>4</v>
      </c>
      <c r="DT6" s="140">
        <v>0</v>
      </c>
      <c r="DU6" s="140">
        <v>170</v>
      </c>
      <c r="DV6" s="140">
        <v>5</v>
      </c>
      <c r="DW6" s="140">
        <v>33</v>
      </c>
      <c r="DX6" s="140">
        <v>31</v>
      </c>
      <c r="DY6" s="140">
        <v>72</v>
      </c>
      <c r="DZ6" s="140">
        <v>2</v>
      </c>
      <c r="EA6" s="140">
        <v>17</v>
      </c>
      <c r="EB6" s="140">
        <v>20</v>
      </c>
      <c r="EC6" s="140">
        <v>10</v>
      </c>
      <c r="ED6" s="140">
        <v>516</v>
      </c>
      <c r="EE6" s="140">
        <v>0</v>
      </c>
      <c r="EF6" s="140">
        <v>2</v>
      </c>
      <c r="EG6" s="140">
        <v>4</v>
      </c>
      <c r="EH6" s="140">
        <v>61</v>
      </c>
      <c r="EI6" s="140">
        <v>2</v>
      </c>
      <c r="EJ6" s="140">
        <v>16</v>
      </c>
      <c r="EK6" s="140">
        <v>254</v>
      </c>
      <c r="EL6" s="140">
        <v>6</v>
      </c>
      <c r="EM6" s="140">
        <v>125</v>
      </c>
      <c r="EN6" s="140">
        <v>0</v>
      </c>
      <c r="EQ6" t="s">
        <v>181</v>
      </c>
      <c r="ER6">
        <f>GETPIVOTDATA(" Hauts Fonctionnaires",$AV$3)</f>
        <v>507</v>
      </c>
      <c r="EV6" t="s">
        <v>181</v>
      </c>
      <c r="EW6">
        <f>GETPIVOTDATA(" Hauts Fonctionnaires",$CS$3)</f>
        <v>507</v>
      </c>
      <c r="EY6" s="187" t="s">
        <v>334</v>
      </c>
      <c r="EZ6" s="140">
        <v>0</v>
      </c>
      <c r="FA6" s="140">
        <v>0</v>
      </c>
      <c r="FB6" s="140">
        <v>2</v>
      </c>
      <c r="FC6" s="140">
        <v>2</v>
      </c>
      <c r="FD6" s="140">
        <v>0</v>
      </c>
      <c r="FE6" s="140">
        <v>252</v>
      </c>
      <c r="FF6" s="140">
        <v>26</v>
      </c>
      <c r="FG6" s="140">
        <v>10</v>
      </c>
      <c r="FH6" s="140">
        <v>4</v>
      </c>
      <c r="FI6" s="140">
        <v>291</v>
      </c>
      <c r="FJ6" s="140">
        <v>3</v>
      </c>
      <c r="FK6" s="140">
        <v>0</v>
      </c>
      <c r="FM6" s="187" t="s">
        <v>334</v>
      </c>
      <c r="FN6" s="140">
        <v>0</v>
      </c>
      <c r="FO6" s="140">
        <v>0</v>
      </c>
      <c r="FP6" s="140">
        <v>2</v>
      </c>
      <c r="FQ6" s="140">
        <v>2</v>
      </c>
      <c r="FR6" s="140">
        <v>0</v>
      </c>
      <c r="FS6" s="140">
        <v>252</v>
      </c>
      <c r="FT6" s="140">
        <v>26</v>
      </c>
      <c r="FU6" s="140">
        <v>10</v>
      </c>
      <c r="FV6" s="140">
        <v>4</v>
      </c>
      <c r="FW6" s="140">
        <v>291</v>
      </c>
      <c r="FX6" s="140">
        <v>3</v>
      </c>
      <c r="FY6" s="140">
        <v>0</v>
      </c>
      <c r="GA6" s="196" t="s">
        <v>263</v>
      </c>
      <c r="GB6">
        <f>GETPIVOTDATA(" 190",$EY$4)</f>
        <v>493</v>
      </c>
      <c r="GD6" s="196" t="s">
        <v>263</v>
      </c>
      <c r="GE6">
        <f>GETPIVOTDATA(" 190",$FM$4)</f>
        <v>493</v>
      </c>
      <c r="GG6" s="150">
        <v>43616</v>
      </c>
      <c r="GH6" s="140">
        <v>905</v>
      </c>
      <c r="GI6" s="140">
        <v>0</v>
      </c>
      <c r="GJ6" s="140">
        <v>0</v>
      </c>
      <c r="GK6" s="140">
        <v>0</v>
      </c>
      <c r="GL6" s="140">
        <v>3</v>
      </c>
      <c r="GM6" s="140">
        <v>40</v>
      </c>
      <c r="GN6" s="140">
        <v>161</v>
      </c>
      <c r="GO6" s="140">
        <v>2</v>
      </c>
      <c r="GP6" s="140">
        <v>24</v>
      </c>
      <c r="GQ6" s="140">
        <v>0</v>
      </c>
      <c r="GR6" s="140">
        <v>6</v>
      </c>
      <c r="GS6" s="140">
        <v>0</v>
      </c>
      <c r="GT6" s="140">
        <v>0</v>
      </c>
      <c r="GU6" s="140">
        <v>1</v>
      </c>
      <c r="GV6" s="140">
        <v>11</v>
      </c>
      <c r="GW6" s="140"/>
      <c r="GX6" s="140">
        <v>5</v>
      </c>
      <c r="GY6" s="140">
        <v>0</v>
      </c>
      <c r="GZ6" s="140">
        <v>0</v>
      </c>
      <c r="HA6" s="140">
        <v>50</v>
      </c>
      <c r="HB6" s="140">
        <v>0</v>
      </c>
      <c r="HC6" s="140">
        <v>2</v>
      </c>
      <c r="HD6" s="140">
        <v>62</v>
      </c>
      <c r="HE6" s="140">
        <v>2</v>
      </c>
      <c r="HF6" s="140">
        <v>217</v>
      </c>
      <c r="HG6" s="140">
        <v>0</v>
      </c>
      <c r="HH6" s="140">
        <v>1</v>
      </c>
      <c r="HJ6" s="150">
        <v>43616</v>
      </c>
      <c r="HK6" s="140">
        <v>905</v>
      </c>
      <c r="HL6" s="140">
        <v>0</v>
      </c>
      <c r="HM6" s="140">
        <v>0</v>
      </c>
      <c r="HN6" s="140">
        <v>0</v>
      </c>
      <c r="HO6" s="140">
        <v>3</v>
      </c>
      <c r="HP6" s="140">
        <v>40</v>
      </c>
      <c r="HQ6" s="140">
        <v>161</v>
      </c>
      <c r="HR6" s="140">
        <v>2</v>
      </c>
      <c r="HS6" s="140">
        <v>24</v>
      </c>
      <c r="HT6" s="140">
        <v>0</v>
      </c>
      <c r="HU6" s="140">
        <v>6</v>
      </c>
      <c r="HV6" s="140">
        <v>0</v>
      </c>
      <c r="HW6" s="140">
        <v>0</v>
      </c>
      <c r="HX6" s="140">
        <v>1</v>
      </c>
      <c r="HY6" s="140">
        <v>11</v>
      </c>
      <c r="HZ6" s="140"/>
      <c r="IA6" s="140">
        <v>5</v>
      </c>
      <c r="IB6" s="140">
        <v>0</v>
      </c>
      <c r="IC6" s="140">
        <v>0</v>
      </c>
      <c r="ID6" s="140">
        <v>50</v>
      </c>
      <c r="IE6" s="140">
        <v>0</v>
      </c>
      <c r="IF6" s="140">
        <v>2</v>
      </c>
      <c r="IG6" s="140">
        <v>62</v>
      </c>
      <c r="IH6" s="140">
        <v>2</v>
      </c>
      <c r="II6" s="140">
        <v>217</v>
      </c>
      <c r="IJ6" s="140">
        <v>0</v>
      </c>
      <c r="IK6" s="140">
        <v>1</v>
      </c>
      <c r="IM6" t="s">
        <v>337</v>
      </c>
      <c r="IN6">
        <f>GETPIVOTDATA(" Santé Publique.",$GG$4)</f>
        <v>323</v>
      </c>
      <c r="IP6" t="s">
        <v>337</v>
      </c>
      <c r="IQ6">
        <f>GETPIVOTDATA(" Santé Publique.",$HJ$4)</f>
        <v>323</v>
      </c>
    </row>
    <row r="7" spans="2:251" x14ac:dyDescent="0.25">
      <c r="EQ7" t="s">
        <v>174</v>
      </c>
      <c r="ER7">
        <f>GETPIVOTDATA(" Gendamerie Nationale",$AV$3)</f>
        <v>278</v>
      </c>
      <c r="EV7" t="s">
        <v>174</v>
      </c>
      <c r="EW7">
        <f>GETPIVOTDATA(" Gendamerie Nationale",$CS$3)</f>
        <v>278</v>
      </c>
      <c r="EY7" s="188" t="s">
        <v>334</v>
      </c>
      <c r="EZ7" s="140">
        <v>0</v>
      </c>
      <c r="FA7" s="140">
        <v>0</v>
      </c>
      <c r="FB7" s="140">
        <v>2</v>
      </c>
      <c r="FC7" s="140">
        <v>2</v>
      </c>
      <c r="FD7" s="140">
        <v>0</v>
      </c>
      <c r="FE7" s="140">
        <v>252</v>
      </c>
      <c r="FF7" s="140">
        <v>26</v>
      </c>
      <c r="FG7" s="140">
        <v>10</v>
      </c>
      <c r="FH7" s="140">
        <v>4</v>
      </c>
      <c r="FI7" s="140">
        <v>291</v>
      </c>
      <c r="FJ7" s="140">
        <v>3</v>
      </c>
      <c r="FK7" s="140">
        <v>0</v>
      </c>
      <c r="FM7" s="188" t="s">
        <v>334</v>
      </c>
      <c r="FN7" s="140">
        <v>0</v>
      </c>
      <c r="FO7" s="140">
        <v>0</v>
      </c>
      <c r="FP7" s="140">
        <v>2</v>
      </c>
      <c r="FQ7" s="140">
        <v>2</v>
      </c>
      <c r="FR7" s="140">
        <v>0</v>
      </c>
      <c r="FS7" s="140">
        <v>252</v>
      </c>
      <c r="FT7" s="140">
        <v>26</v>
      </c>
      <c r="FU7" s="140">
        <v>10</v>
      </c>
      <c r="FV7" s="140">
        <v>4</v>
      </c>
      <c r="FW7" s="140">
        <v>291</v>
      </c>
      <c r="FX7" s="140">
        <v>3</v>
      </c>
      <c r="FY7" s="140">
        <v>0</v>
      </c>
      <c r="GA7" s="196" t="s">
        <v>264</v>
      </c>
      <c r="GB7">
        <f>GETPIVOTDATA(" 192",$EY$4)</f>
        <v>47</v>
      </c>
      <c r="GD7" s="196" t="s">
        <v>264</v>
      </c>
      <c r="GE7">
        <f>GETPIVOTDATA(" 192",$FM$4)</f>
        <v>47</v>
      </c>
      <c r="GG7" s="150" t="s">
        <v>261</v>
      </c>
      <c r="GH7" s="140">
        <v>1686</v>
      </c>
      <c r="GI7" s="140">
        <v>0</v>
      </c>
      <c r="GJ7" s="140">
        <v>0</v>
      </c>
      <c r="GK7" s="140">
        <v>0</v>
      </c>
      <c r="GL7" s="140">
        <v>6</v>
      </c>
      <c r="GM7" s="140">
        <v>82</v>
      </c>
      <c r="GN7" s="140">
        <v>323</v>
      </c>
      <c r="GO7" s="140">
        <v>4</v>
      </c>
      <c r="GP7" s="140">
        <v>48</v>
      </c>
      <c r="GQ7" s="140">
        <v>0</v>
      </c>
      <c r="GR7" s="140">
        <v>12</v>
      </c>
      <c r="GS7" s="140">
        <v>0</v>
      </c>
      <c r="GT7" s="140">
        <v>0</v>
      </c>
      <c r="GU7" s="140">
        <v>1</v>
      </c>
      <c r="GV7" s="140">
        <v>13</v>
      </c>
      <c r="GW7" s="140"/>
      <c r="GX7" s="140">
        <v>5</v>
      </c>
      <c r="GY7" s="140">
        <v>5</v>
      </c>
      <c r="GZ7" s="140">
        <v>2</v>
      </c>
      <c r="HA7" s="140">
        <v>61</v>
      </c>
      <c r="HB7" s="140">
        <v>1</v>
      </c>
      <c r="HC7" s="140">
        <v>4</v>
      </c>
      <c r="HD7" s="140">
        <v>125</v>
      </c>
      <c r="HE7" s="140">
        <v>4</v>
      </c>
      <c r="HF7" s="140">
        <v>434</v>
      </c>
      <c r="HG7" s="140">
        <v>2</v>
      </c>
      <c r="HH7" s="140">
        <v>1</v>
      </c>
      <c r="HJ7" s="150" t="s">
        <v>261</v>
      </c>
      <c r="HK7" s="140">
        <v>1686</v>
      </c>
      <c r="HL7" s="140">
        <v>0</v>
      </c>
      <c r="HM7" s="140">
        <v>0</v>
      </c>
      <c r="HN7" s="140">
        <v>0</v>
      </c>
      <c r="HO7" s="140">
        <v>6</v>
      </c>
      <c r="HP7" s="140">
        <v>82</v>
      </c>
      <c r="HQ7" s="140">
        <v>323</v>
      </c>
      <c r="HR7" s="140">
        <v>4</v>
      </c>
      <c r="HS7" s="140">
        <v>48</v>
      </c>
      <c r="HT7" s="140">
        <v>0</v>
      </c>
      <c r="HU7" s="140">
        <v>12</v>
      </c>
      <c r="HV7" s="140">
        <v>0</v>
      </c>
      <c r="HW7" s="140">
        <v>0</v>
      </c>
      <c r="HX7" s="140">
        <v>1</v>
      </c>
      <c r="HY7" s="140">
        <v>13</v>
      </c>
      <c r="HZ7" s="140"/>
      <c r="IA7" s="140">
        <v>5</v>
      </c>
      <c r="IB7" s="140">
        <v>5</v>
      </c>
      <c r="IC7" s="140">
        <v>2</v>
      </c>
      <c r="ID7" s="140">
        <v>61</v>
      </c>
      <c r="IE7" s="140">
        <v>1</v>
      </c>
      <c r="IF7" s="140">
        <v>4</v>
      </c>
      <c r="IG7" s="140">
        <v>125</v>
      </c>
      <c r="IH7" s="140">
        <v>4</v>
      </c>
      <c r="II7" s="140">
        <v>434</v>
      </c>
      <c r="IJ7" s="140">
        <v>2</v>
      </c>
      <c r="IK7" s="140">
        <v>1</v>
      </c>
      <c r="IM7" t="s">
        <v>126</v>
      </c>
      <c r="IN7">
        <f>GETPIVOTDATA(" Coopération   Cubaine bdc 188",$GG$4)</f>
        <v>125</v>
      </c>
      <c r="IP7" t="s">
        <v>126</v>
      </c>
      <c r="IQ7">
        <f>GETPIVOTDATA(" Coopération   Cubaine bdc 188",$HJ$4)</f>
        <v>125</v>
      </c>
    </row>
    <row r="8" spans="2:251" x14ac:dyDescent="0.25">
      <c r="EQ8" t="s">
        <v>205</v>
      </c>
      <c r="ER8">
        <f>GETPIVOTDATA(" Santé Publique",$AV$3)</f>
        <v>254</v>
      </c>
      <c r="EV8" t="s">
        <v>205</v>
      </c>
      <c r="EW8">
        <f>GETPIVOTDATA(" Santé Publique",$CS$3)</f>
        <v>254</v>
      </c>
      <c r="EY8" s="150">
        <v>43616</v>
      </c>
      <c r="EZ8" s="140">
        <v>0</v>
      </c>
      <c r="FA8" s="140">
        <v>0</v>
      </c>
      <c r="FB8" s="140">
        <v>3</v>
      </c>
      <c r="FC8" s="140">
        <v>2</v>
      </c>
      <c r="FD8" s="140">
        <v>0</v>
      </c>
      <c r="FE8" s="140">
        <v>241</v>
      </c>
      <c r="FF8" s="140">
        <v>21</v>
      </c>
      <c r="FG8" s="140">
        <v>17</v>
      </c>
      <c r="FH8" s="140">
        <v>3</v>
      </c>
      <c r="FI8" s="140">
        <v>287</v>
      </c>
      <c r="FJ8" s="140">
        <v>0</v>
      </c>
      <c r="FK8" s="140">
        <v>2</v>
      </c>
      <c r="FM8" s="150">
        <v>43616</v>
      </c>
      <c r="FN8" s="140">
        <v>0</v>
      </c>
      <c r="FO8" s="140">
        <v>0</v>
      </c>
      <c r="FP8" s="140">
        <v>3</v>
      </c>
      <c r="FQ8" s="140">
        <v>2</v>
      </c>
      <c r="FR8" s="140">
        <v>0</v>
      </c>
      <c r="FS8" s="140">
        <v>241</v>
      </c>
      <c r="FT8" s="140">
        <v>21</v>
      </c>
      <c r="FU8" s="140">
        <v>17</v>
      </c>
      <c r="FV8" s="140">
        <v>3</v>
      </c>
      <c r="FW8" s="140">
        <v>287</v>
      </c>
      <c r="FX8" s="140">
        <v>0</v>
      </c>
      <c r="FY8" s="140">
        <v>2</v>
      </c>
      <c r="GA8" s="196" t="s">
        <v>265</v>
      </c>
      <c r="GB8">
        <f>GETPIVOTDATA(" 193",$EY$4)</f>
        <v>27</v>
      </c>
      <c r="GD8" s="196" t="s">
        <v>265</v>
      </c>
      <c r="GE8">
        <f>GETPIVOTDATA(" 193",$FM$4)</f>
        <v>27</v>
      </c>
      <c r="IM8" t="s">
        <v>66</v>
      </c>
      <c r="IN8">
        <f>GETPIVOTDATA(" DG Budget",$GG$4)</f>
        <v>61</v>
      </c>
      <c r="IP8" t="s">
        <v>338</v>
      </c>
      <c r="IQ8">
        <f>GETPIVOTDATA(" Enseignement Supérieur.",$HJ$4)</f>
        <v>82</v>
      </c>
    </row>
    <row r="9" spans="2:251" x14ac:dyDescent="0.25">
      <c r="EQ9" t="s">
        <v>172</v>
      </c>
      <c r="ER9">
        <f>GETPIVOTDATA(" Défense Nationale",$AV$3)</f>
        <v>242</v>
      </c>
      <c r="EV9" t="s">
        <v>172</v>
      </c>
      <c r="EW9">
        <f>GETPIVOTDATA(" Défense Nationale",$CS$3)</f>
        <v>242</v>
      </c>
      <c r="EY9" s="187" t="s">
        <v>334</v>
      </c>
      <c r="EZ9" s="140">
        <v>0</v>
      </c>
      <c r="FA9" s="140">
        <v>0</v>
      </c>
      <c r="FB9" s="140">
        <v>3</v>
      </c>
      <c r="FC9" s="140">
        <v>2</v>
      </c>
      <c r="FD9" s="140">
        <v>0</v>
      </c>
      <c r="FE9" s="140">
        <v>241</v>
      </c>
      <c r="FF9" s="140">
        <v>21</v>
      </c>
      <c r="FG9" s="140">
        <v>17</v>
      </c>
      <c r="FH9" s="140">
        <v>3</v>
      </c>
      <c r="FI9" s="140">
        <v>287</v>
      </c>
      <c r="FJ9" s="140">
        <v>0</v>
      </c>
      <c r="FK9" s="140">
        <v>2</v>
      </c>
      <c r="FM9" s="187" t="s">
        <v>334</v>
      </c>
      <c r="FN9" s="140">
        <v>0</v>
      </c>
      <c r="FO9" s="140">
        <v>0</v>
      </c>
      <c r="FP9" s="140">
        <v>3</v>
      </c>
      <c r="FQ9" s="140">
        <v>2</v>
      </c>
      <c r="FR9" s="140">
        <v>0</v>
      </c>
      <c r="FS9" s="140">
        <v>241</v>
      </c>
      <c r="FT9" s="140">
        <v>21</v>
      </c>
      <c r="FU9" s="140">
        <v>17</v>
      </c>
      <c r="FV9" s="140">
        <v>3</v>
      </c>
      <c r="FW9" s="140">
        <v>287</v>
      </c>
      <c r="FX9" s="140">
        <v>0</v>
      </c>
      <c r="FY9" s="140">
        <v>2</v>
      </c>
      <c r="GA9" s="196" t="s">
        <v>266</v>
      </c>
      <c r="GB9">
        <f>GETPIVOTDATA(" 194",$EY$4)</f>
        <v>7</v>
      </c>
      <c r="GD9" s="196" t="s">
        <v>266</v>
      </c>
      <c r="GE9">
        <f>GETPIVOTDATA(" 194",$FM$4)</f>
        <v>7</v>
      </c>
      <c r="IM9" t="s">
        <v>338</v>
      </c>
      <c r="IN9">
        <f>GETPIVOTDATA(" Enseignement Supérieur.",$GG$4)</f>
        <v>82</v>
      </c>
      <c r="IP9" t="s">
        <v>66</v>
      </c>
      <c r="IQ9">
        <f>GETPIVOTDATA(" DG Budget",$HJ$4)</f>
        <v>61</v>
      </c>
    </row>
    <row r="10" spans="2:251" x14ac:dyDescent="0.25">
      <c r="EQ10" t="s">
        <v>189</v>
      </c>
      <c r="ER10">
        <f>GETPIVOTDATA(" Justice",$AV$3)</f>
        <v>170</v>
      </c>
      <c r="EV10" t="s">
        <v>189</v>
      </c>
      <c r="EW10">
        <f>GETPIVOTDATA(" Justice",$CS$3)</f>
        <v>170</v>
      </c>
      <c r="EY10" s="188" t="s">
        <v>334</v>
      </c>
      <c r="EZ10" s="140">
        <v>0</v>
      </c>
      <c r="FA10" s="140">
        <v>0</v>
      </c>
      <c r="FB10" s="140">
        <v>3</v>
      </c>
      <c r="FC10" s="140">
        <v>2</v>
      </c>
      <c r="FD10" s="140">
        <v>0</v>
      </c>
      <c r="FE10" s="140">
        <v>241</v>
      </c>
      <c r="FF10" s="140">
        <v>21</v>
      </c>
      <c r="FG10" s="140">
        <v>17</v>
      </c>
      <c r="FH10" s="140">
        <v>3</v>
      </c>
      <c r="FI10" s="140">
        <v>287</v>
      </c>
      <c r="FJ10" s="140">
        <v>0</v>
      </c>
      <c r="FK10" s="140">
        <v>2</v>
      </c>
      <c r="FM10" s="188" t="s">
        <v>334</v>
      </c>
      <c r="FN10" s="140">
        <v>0</v>
      </c>
      <c r="FO10" s="140">
        <v>0</v>
      </c>
      <c r="FP10" s="140">
        <v>3</v>
      </c>
      <c r="FQ10" s="140">
        <v>2</v>
      </c>
      <c r="FR10" s="140">
        <v>0</v>
      </c>
      <c r="FS10" s="140">
        <v>241</v>
      </c>
      <c r="FT10" s="140">
        <v>21</v>
      </c>
      <c r="FU10" s="140">
        <v>17</v>
      </c>
      <c r="FV10" s="140">
        <v>3</v>
      </c>
      <c r="FW10" s="140">
        <v>287</v>
      </c>
      <c r="FX10" s="140">
        <v>0</v>
      </c>
      <c r="FY10" s="140">
        <v>2</v>
      </c>
      <c r="GA10" s="196" t="s">
        <v>267</v>
      </c>
      <c r="GB10">
        <f>GETPIVOTDATA(" 184",$EY$4)</f>
        <v>5</v>
      </c>
      <c r="GD10" s="196" t="s">
        <v>267</v>
      </c>
      <c r="GE10">
        <f>GETPIVOTDATA(" 184",$FM$4)</f>
        <v>5</v>
      </c>
      <c r="IM10" t="s">
        <v>339</v>
      </c>
      <c r="IN10">
        <f>GETPIVOTDATA(" Recherche Scientifique.",$GG$4)</f>
        <v>48</v>
      </c>
      <c r="IP10" t="s">
        <v>339</v>
      </c>
      <c r="IQ10">
        <f>GETPIVOTDATA(" Recherche Scientifique.",$HJ$4)</f>
        <v>48</v>
      </c>
    </row>
    <row r="11" spans="2:251" x14ac:dyDescent="0.25">
      <c r="EQ11" t="s">
        <v>175</v>
      </c>
      <c r="ER11">
        <f>GETPIVOTDATA(" Forces Terrestres et Navales",$AV$3)</f>
        <v>122</v>
      </c>
      <c r="EV11" t="s">
        <v>207</v>
      </c>
      <c r="EW11">
        <f>GETPIVOTDATA(" Affaire Sociales",$CS$3)</f>
        <v>125</v>
      </c>
      <c r="EY11" s="150" t="s">
        <v>261</v>
      </c>
      <c r="EZ11" s="140">
        <v>0</v>
      </c>
      <c r="FA11" s="140">
        <v>0</v>
      </c>
      <c r="FB11" s="140">
        <v>5</v>
      </c>
      <c r="FC11" s="140">
        <v>4</v>
      </c>
      <c r="FD11" s="140">
        <v>0</v>
      </c>
      <c r="FE11" s="140">
        <v>493</v>
      </c>
      <c r="FF11" s="140">
        <v>47</v>
      </c>
      <c r="FG11" s="140">
        <v>27</v>
      </c>
      <c r="FH11" s="140">
        <v>7</v>
      </c>
      <c r="FI11" s="140">
        <v>578</v>
      </c>
      <c r="FJ11" s="140">
        <v>3</v>
      </c>
      <c r="FK11" s="140">
        <v>2</v>
      </c>
      <c r="FM11" s="150" t="s">
        <v>261</v>
      </c>
      <c r="FN11" s="140">
        <v>0</v>
      </c>
      <c r="FO11" s="140">
        <v>0</v>
      </c>
      <c r="FP11" s="140">
        <v>5</v>
      </c>
      <c r="FQ11" s="140">
        <v>4</v>
      </c>
      <c r="FR11" s="140">
        <v>0</v>
      </c>
      <c r="FS11" s="140">
        <v>493</v>
      </c>
      <c r="FT11" s="140">
        <v>47</v>
      </c>
      <c r="FU11" s="140">
        <v>27</v>
      </c>
      <c r="FV11" s="140">
        <v>7</v>
      </c>
      <c r="FW11" s="140">
        <v>578</v>
      </c>
      <c r="FX11" s="140">
        <v>3</v>
      </c>
      <c r="FY11" s="140">
        <v>2</v>
      </c>
      <c r="GA11" s="196" t="s">
        <v>335</v>
      </c>
      <c r="GB11">
        <f>GETPIVOTDATA(" 188",$EY$4)</f>
        <v>4</v>
      </c>
      <c r="GD11" s="196" t="s">
        <v>335</v>
      </c>
      <c r="GE11">
        <f>GETPIVOTDATA(" 188",$FM$4)</f>
        <v>4</v>
      </c>
      <c r="IM11" t="s">
        <v>62</v>
      </c>
      <c r="IN11">
        <f>GETPIVOTDATA(" Tresor",$GG$4)</f>
        <v>13</v>
      </c>
      <c r="IP11" t="s">
        <v>62</v>
      </c>
      <c r="IQ11">
        <f>GETPIVOTDATA(" Tresor",$HJ$4)</f>
        <v>13</v>
      </c>
    </row>
    <row r="12" spans="2:251" x14ac:dyDescent="0.25">
      <c r="EQ12" t="s">
        <v>207</v>
      </c>
      <c r="ER12">
        <f>GETPIVOTDATA(" Affaire Sociales",$AV$3)</f>
        <v>125</v>
      </c>
      <c r="EV12" t="s">
        <v>175</v>
      </c>
      <c r="EW12">
        <f>GETPIVOTDATA(" Forces Terrestres et Navales",$CS$3)</f>
        <v>122</v>
      </c>
      <c r="FK12"/>
      <c r="GA12" s="196" t="s">
        <v>269</v>
      </c>
      <c r="GB12">
        <f>GETPIVOTDATA(" 199",$EY$4)</f>
        <v>2</v>
      </c>
      <c r="GD12" s="196" t="s">
        <v>268</v>
      </c>
      <c r="GE12">
        <f>GETPIVOTDATA(" 198",$FM$4)</f>
        <v>3</v>
      </c>
      <c r="IM12" t="s">
        <v>59</v>
      </c>
      <c r="IN12">
        <f>GETPIVOTDATA(" Eaux et Energie",$GG$4)</f>
        <v>12</v>
      </c>
      <c r="IP12" t="s">
        <v>59</v>
      </c>
      <c r="IQ12">
        <f>GETPIVOTDATA(" Eaux et Energie",$HJ$4)</f>
        <v>12</v>
      </c>
    </row>
    <row r="13" spans="2:251" x14ac:dyDescent="0.25">
      <c r="EQ13" t="s">
        <v>164</v>
      </c>
      <c r="ER13">
        <f>GETPIVOTDATA(" Assemblée",$AV$3)</f>
        <v>93</v>
      </c>
      <c r="EV13" t="s">
        <v>164</v>
      </c>
      <c r="EW13">
        <f>GETPIVOTDATA(" Assemblée",$CS$3)</f>
        <v>93</v>
      </c>
      <c r="FK13"/>
      <c r="GA13" s="196" t="s">
        <v>268</v>
      </c>
      <c r="GB13">
        <f>GETPIVOTDATA(" 198",$EY$4)</f>
        <v>3</v>
      </c>
      <c r="GD13" s="196" t="s">
        <v>269</v>
      </c>
      <c r="GE13">
        <f>GETPIVOTDATA(" 199",$FM$4)</f>
        <v>2</v>
      </c>
      <c r="IM13" t="s">
        <v>64</v>
      </c>
      <c r="IN13">
        <f>GETPIVOTDATA(" DGCC",$GG$4)</f>
        <v>5</v>
      </c>
      <c r="IP13" t="s">
        <v>340</v>
      </c>
      <c r="IQ13">
        <f>GETPIVOTDATA(" Jeunesse et Sports.",$HJ$4)</f>
        <v>6</v>
      </c>
    </row>
    <row r="14" spans="2:251" x14ac:dyDescent="0.25">
      <c r="EQ14" t="s">
        <v>186</v>
      </c>
      <c r="ER14">
        <f>GETPIVOTDATA(" Habitat et Cadastre",$AV$3)</f>
        <v>76</v>
      </c>
      <c r="EV14" t="s">
        <v>186</v>
      </c>
      <c r="EW14">
        <f>GETPIVOTDATA(" Habitat et Cadastre",$CS$3)</f>
        <v>76</v>
      </c>
      <c r="FK14"/>
      <c r="GA14" s="196" t="s">
        <v>270</v>
      </c>
      <c r="GB14">
        <f>GETPIVOTDATA(" Bons de caisse 101",$EY$4)</f>
        <v>0</v>
      </c>
      <c r="GD14" s="196" t="s">
        <v>270</v>
      </c>
      <c r="GE14">
        <f>GETPIVOTDATA(" Bons de caisse 101",$FM$4)</f>
        <v>0</v>
      </c>
      <c r="IM14" t="s">
        <v>345</v>
      </c>
      <c r="IN14">
        <f>GETPIVOTDATA(" Jeunesse et Sports.",$GG$4)</f>
        <v>6</v>
      </c>
      <c r="IP14" t="s">
        <v>64</v>
      </c>
      <c r="IQ14">
        <f>GETPIVOTDATA(" DGCC",$HJ$4)</f>
        <v>5</v>
      </c>
    </row>
    <row r="15" spans="2:251" x14ac:dyDescent="0.25">
      <c r="EQ15" t="s">
        <v>193</v>
      </c>
      <c r="ER15">
        <f>GETPIVOTDATA(" Budget/Finances",$AV$3)</f>
        <v>72</v>
      </c>
      <c r="EV15" t="s">
        <v>193</v>
      </c>
      <c r="EW15">
        <f>GETPIVOTDATA(" Budget/Finances",$CS$3)</f>
        <v>72</v>
      </c>
      <c r="GA15" s="196" t="s">
        <v>271</v>
      </c>
      <c r="GB15">
        <f>GETPIVOTDATA(" 107",$EY$4)</f>
        <v>0</v>
      </c>
      <c r="GD15" s="196" t="s">
        <v>271</v>
      </c>
      <c r="GE15">
        <f>GETPIVOTDATA(" 107",$FM$4)</f>
        <v>0</v>
      </c>
      <c r="IM15" t="s">
        <v>342</v>
      </c>
      <c r="IN15">
        <f>GETPIVOTDATA(" BDC 178",$GG$4)</f>
        <v>4</v>
      </c>
      <c r="IP15" t="s">
        <v>341</v>
      </c>
      <c r="IQ15">
        <f>GETPIVOTDATA(" Economie.",$HJ$4)</f>
        <v>5</v>
      </c>
    </row>
    <row r="16" spans="2:251" x14ac:dyDescent="0.25">
      <c r="EQ16" t="s">
        <v>202</v>
      </c>
      <c r="ER16">
        <f>GETPIVOTDATA(" Enseignement Supérieur",$AV$3)</f>
        <v>61</v>
      </c>
      <c r="EV16" t="s">
        <v>202</v>
      </c>
      <c r="EW16">
        <f>GETPIVOTDATA(" Enseignement Supérieur",$CS$3)</f>
        <v>61</v>
      </c>
      <c r="GA16" s="196" t="s">
        <v>272</v>
      </c>
      <c r="GB16">
        <f>GETPIVOTDATA(" 189",$EY$4)</f>
        <v>0</v>
      </c>
      <c r="GD16" s="196" t="s">
        <v>272</v>
      </c>
      <c r="GE16">
        <f>GETPIVOTDATA(" 189",$FM$4)</f>
        <v>0</v>
      </c>
      <c r="IM16" t="s">
        <v>68</v>
      </c>
      <c r="IN16">
        <f>GETPIVOTDATA(" DG Economie",$GG$4)</f>
        <v>4</v>
      </c>
      <c r="IP16" t="s">
        <v>342</v>
      </c>
      <c r="IQ16">
        <f>GETPIVOTDATA(" BDC 178",$HJ$4)</f>
        <v>4</v>
      </c>
    </row>
    <row r="17" spans="147:251" x14ac:dyDescent="0.25">
      <c r="EQ17" t="s">
        <v>166</v>
      </c>
      <c r="ER17">
        <f>GETPIVOTDATA(" Sénat",$AV$3)</f>
        <v>56</v>
      </c>
      <c r="EV17" t="s">
        <v>166</v>
      </c>
      <c r="EW17">
        <f>GETPIVOTDATA(" Sénat",$CS$3)</f>
        <v>56</v>
      </c>
      <c r="IM17" t="s">
        <v>343</v>
      </c>
      <c r="IN17">
        <f>GETPIVOTDATA(" Fonction Publique.",$GG$4)</f>
        <v>4</v>
      </c>
      <c r="IP17" t="s">
        <v>68</v>
      </c>
      <c r="IQ17">
        <f>GETPIVOTDATA(" DG Economie",$HJ$4)</f>
        <v>4</v>
      </c>
    </row>
    <row r="18" spans="147:251" x14ac:dyDescent="0.25">
      <c r="EQ18" t="s">
        <v>178</v>
      </c>
      <c r="ER18">
        <f>GETPIVOTDATA(" Forces Armées Gabonaises",$AV$3)</f>
        <v>39</v>
      </c>
      <c r="EV18" t="s">
        <v>209</v>
      </c>
      <c r="EW18">
        <f>GETPIVOTDATA(" Armées Gabonaises",$CS$3)</f>
        <v>39</v>
      </c>
      <c r="IM18" t="s">
        <v>260</v>
      </c>
      <c r="IN18">
        <f>GETPIVOTDATA("BDC 193.",$GG$4)</f>
        <v>1</v>
      </c>
      <c r="IP18" t="s">
        <v>343</v>
      </c>
      <c r="IQ18">
        <f>GETPIVOTDATA(" Fonction Publique.",$HJ$4)</f>
        <v>4</v>
      </c>
    </row>
    <row r="19" spans="147:251" x14ac:dyDescent="0.25">
      <c r="EQ19" t="s">
        <v>191</v>
      </c>
      <c r="ER19">
        <f>GETPIVOTDATA(" Forces de Police Nationale",$AV$3)</f>
        <v>33</v>
      </c>
      <c r="EV19" t="s">
        <v>191</v>
      </c>
      <c r="EW19">
        <f>GETPIVOTDATA(" Forces de Police Nationale",$CS$3)</f>
        <v>33</v>
      </c>
      <c r="IM19" t="s">
        <v>61</v>
      </c>
      <c r="IN19">
        <f>GETPIVOTDATA(" Douanes",$GG$4)</f>
        <v>1</v>
      </c>
      <c r="IP19" t="s">
        <v>259</v>
      </c>
      <c r="IQ19">
        <f>GETPIVOTDATA("BDC 190.",$HJ$4)</f>
        <v>2</v>
      </c>
    </row>
    <row r="20" spans="147:251" x14ac:dyDescent="0.25">
      <c r="EQ20" t="s">
        <v>192</v>
      </c>
      <c r="ER20">
        <f>GETPIVOTDATA(" Sécurité Pénitentiare",$AV$3)</f>
        <v>31</v>
      </c>
      <c r="EV20" t="s">
        <v>192</v>
      </c>
      <c r="EW20">
        <f>GETPIVOTDATA(" Sécurité Pénitentiare",$CS$3)</f>
        <v>31</v>
      </c>
      <c r="IM20" t="s">
        <v>341</v>
      </c>
      <c r="IN20">
        <f>GETPIVOTDATA(" Economie.",$GG$4)</f>
        <v>5</v>
      </c>
      <c r="IP20" t="s">
        <v>65</v>
      </c>
      <c r="IQ20">
        <f>GETPIVOTDATA(" Impots",$HJ$4)</f>
        <v>2</v>
      </c>
    </row>
    <row r="21" spans="147:251" x14ac:dyDescent="0.25">
      <c r="EQ21" t="s">
        <v>177</v>
      </c>
      <c r="ER21">
        <f>GETPIVOTDATA(" Marine Nationale",$AV$3)</f>
        <v>24</v>
      </c>
      <c r="EV21" t="s">
        <v>177</v>
      </c>
      <c r="EW21">
        <f>GETPIVOTDATA(" Marine Nationale",$CS$3)</f>
        <v>24</v>
      </c>
      <c r="IM21" t="s">
        <v>259</v>
      </c>
      <c r="IN21">
        <f>GETPIVOTDATA("BDC 190.",$GG$4)</f>
        <v>2</v>
      </c>
      <c r="IP21" t="s">
        <v>260</v>
      </c>
      <c r="IQ21">
        <f>GETPIVOTDATA("BDC 193.",$HJ$4)</f>
        <v>1</v>
      </c>
    </row>
    <row r="22" spans="147:251" x14ac:dyDescent="0.25">
      <c r="EQ22" t="s">
        <v>173</v>
      </c>
      <c r="ER22">
        <f>GETPIVOTDATA(" Garde Républicaine",$AV$3)</f>
        <v>24</v>
      </c>
      <c r="EV22" t="s">
        <v>173</v>
      </c>
      <c r="EW22">
        <f>GETPIVOTDATA(" Garde Républicaine",$CS$3)</f>
        <v>24</v>
      </c>
      <c r="IM22" t="s">
        <v>65</v>
      </c>
      <c r="IN22">
        <f>GETPIVOTDATA(" Impots",$GG$4)</f>
        <v>2</v>
      </c>
      <c r="IP22" t="s">
        <v>61</v>
      </c>
      <c r="IQ22">
        <f>GETPIVOTDATA(" Douanes",$HJ$4)</f>
        <v>1</v>
      </c>
    </row>
    <row r="23" spans="147:251" x14ac:dyDescent="0.25">
      <c r="EQ23" t="s">
        <v>196</v>
      </c>
      <c r="ER23">
        <f>GETPIVOTDATA(" Communication",$AV$3)</f>
        <v>20</v>
      </c>
      <c r="EV23" t="s">
        <v>196</v>
      </c>
      <c r="EW23">
        <f>GETPIVOTDATA(" Communication",$CS$3)</f>
        <v>20</v>
      </c>
      <c r="IM23" t="s">
        <v>67</v>
      </c>
      <c r="IN23">
        <f>GETPIVOTDATA(" Direction de la solde",$GG$4)</f>
        <v>1</v>
      </c>
      <c r="IP23" t="s">
        <v>67</v>
      </c>
      <c r="IQ23">
        <f>GETPIVOTDATA(" Direction de la solde",$HJ$4)</f>
        <v>1</v>
      </c>
    </row>
    <row r="24" spans="147:251" x14ac:dyDescent="0.25">
      <c r="EQ24" t="s">
        <v>195</v>
      </c>
      <c r="ER24">
        <f>GETPIVOTDATA(" Economie",$AV$3)</f>
        <v>17</v>
      </c>
      <c r="EV24" t="s">
        <v>195</v>
      </c>
      <c r="EW24">
        <f>GETPIVOTDATA(" Economie",$CS$3)</f>
        <v>17</v>
      </c>
      <c r="IM24" t="s">
        <v>63</v>
      </c>
      <c r="IN24">
        <f>GETPIVOTDATA(" DGCPT",$GG$4)</f>
        <v>0</v>
      </c>
      <c r="IP24" t="s">
        <v>63</v>
      </c>
      <c r="IQ24">
        <f>GETPIVOTDATA(" DGCPT",$HJ$4)</f>
        <v>0</v>
      </c>
    </row>
    <row r="25" spans="147:251" x14ac:dyDescent="0.25">
      <c r="EQ25" t="s">
        <v>204</v>
      </c>
      <c r="ER25">
        <f>GETPIVOTDATA(" Recherche Scientifique",$AV$3)</f>
        <v>16</v>
      </c>
      <c r="EV25" t="s">
        <v>204</v>
      </c>
      <c r="EW25">
        <f>GETPIVOTDATA(" Recherche Scientifique",$CS$3)</f>
        <v>16</v>
      </c>
      <c r="IM25" t="s">
        <v>116</v>
      </c>
      <c r="IN25">
        <f>GETPIVOTDATA(" Education   Nationale 3",$GG$4)</f>
        <v>0</v>
      </c>
      <c r="IP25" t="s">
        <v>116</v>
      </c>
      <c r="IQ25">
        <f>GETPIVOTDATA(" Education   Nationale 3",$HJ$4)</f>
        <v>0</v>
      </c>
    </row>
    <row r="26" spans="147:251" x14ac:dyDescent="0.25">
      <c r="EQ26" t="s">
        <v>176</v>
      </c>
      <c r="ER26">
        <f>GETPIVOTDATA(" ALA",$AV$3)</f>
        <v>12</v>
      </c>
      <c r="EV26" t="s">
        <v>176</v>
      </c>
      <c r="EW26">
        <f>GETPIVOTDATA(" ALA",$CS$3)</f>
        <v>12</v>
      </c>
      <c r="IM26" t="s">
        <v>27</v>
      </c>
      <c r="IN26">
        <f>GETPIVOTDATA(" Commerce.",$GG$4)</f>
        <v>0</v>
      </c>
      <c r="IP26" t="s">
        <v>27</v>
      </c>
      <c r="IQ26">
        <f>GETPIVOTDATA(" Commerce.",$HJ$4)</f>
        <v>0</v>
      </c>
    </row>
    <row r="27" spans="147:251" x14ac:dyDescent="0.25">
      <c r="EQ27" t="s">
        <v>197</v>
      </c>
      <c r="ER27">
        <f>GETPIVOTDATA(" Fonction Publique",$AV$3)</f>
        <v>10</v>
      </c>
      <c r="EV27" t="s">
        <v>197</v>
      </c>
      <c r="EW27">
        <f>GETPIVOTDATA(" Fonction Publique",$CS$3)</f>
        <v>10</v>
      </c>
      <c r="IM27" t="s">
        <v>115</v>
      </c>
      <c r="IN27">
        <f>GETPIVOTDATA(" Education   Nationale 2",$GG$4)</f>
        <v>0</v>
      </c>
      <c r="IP27" t="s">
        <v>115</v>
      </c>
      <c r="IQ27">
        <f>GETPIVOTDATA(" Education   Nationale 2",$HJ$4)</f>
        <v>0</v>
      </c>
    </row>
    <row r="28" spans="147:251" x14ac:dyDescent="0.25">
      <c r="EQ28" t="s">
        <v>179</v>
      </c>
      <c r="ER28">
        <f>GETPIVOTDATA(" Bataillon des Sapeurs-Pompiers",$AV$3)</f>
        <v>8</v>
      </c>
      <c r="EV28" t="s">
        <v>179</v>
      </c>
      <c r="EW28">
        <f>GETPIVOTDATA(" Bataillon des Sapeurs-Pompiers",$CS$3)</f>
        <v>8</v>
      </c>
      <c r="IM28" t="s">
        <v>344</v>
      </c>
      <c r="IN28">
        <f>GETPIVOTDATA(" Eaux et Forêts.",$GG$4)</f>
        <v>0</v>
      </c>
      <c r="IP28" t="s">
        <v>344</v>
      </c>
      <c r="IQ28">
        <f>GETPIVOTDATA(" Eaux et Forêts.",$HJ$4)</f>
        <v>0</v>
      </c>
    </row>
    <row r="29" spans="147:251" x14ac:dyDescent="0.25">
      <c r="EQ29" t="s">
        <v>190</v>
      </c>
      <c r="ER29">
        <f>GETPIVOTDATA(" Intéreur",$AV$3)</f>
        <v>5</v>
      </c>
      <c r="EV29" t="s">
        <v>206</v>
      </c>
      <c r="EW29">
        <f>GETPIVOTDATA(" Travail et Emploi",$CS$3)</f>
        <v>6</v>
      </c>
      <c r="IM29" t="s">
        <v>60</v>
      </c>
      <c r="IN29">
        <f>GETPIVOTDATA(" Mines",$GG$4)</f>
        <v>0</v>
      </c>
      <c r="IP29" t="s">
        <v>60</v>
      </c>
      <c r="IQ29">
        <f>GETPIVOTDATA(" Mines",$HJ$4)</f>
        <v>0</v>
      </c>
    </row>
    <row r="30" spans="147:251" x14ac:dyDescent="0.25">
      <c r="EQ30" t="s">
        <v>206</v>
      </c>
      <c r="ER30">
        <f>GETPIVOTDATA(" Travail et Emploi",$AV$3)</f>
        <v>6</v>
      </c>
      <c r="EV30" t="s">
        <v>190</v>
      </c>
      <c r="EW30">
        <f>GETPIVOTDATA(" Intéreur",$CS$3)</f>
        <v>5</v>
      </c>
      <c r="IM30" t="s">
        <v>117</v>
      </c>
      <c r="IN30">
        <f>GETPIVOTDATA(" Education   Nationale 4",$GG$4)</f>
        <v>0</v>
      </c>
      <c r="IP30" t="s">
        <v>117</v>
      </c>
      <c r="IQ30">
        <f>GETPIVOTDATA(" Education   Nationale 4",$HJ$4)</f>
        <v>0</v>
      </c>
    </row>
    <row r="31" spans="147:251" x14ac:dyDescent="0.25">
      <c r="EQ31" t="s">
        <v>167</v>
      </c>
      <c r="ER31">
        <f>GETPIVOTDATA(" Primature",$AV$3)</f>
        <v>4</v>
      </c>
      <c r="EV31" t="s">
        <v>167</v>
      </c>
      <c r="EW31">
        <f>GETPIVOTDATA(" Primature",$CS$3)</f>
        <v>4</v>
      </c>
    </row>
    <row r="32" spans="147:251" x14ac:dyDescent="0.25">
      <c r="EQ32" t="s">
        <v>171</v>
      </c>
      <c r="ER32">
        <f>GETPIVOTDATA(" Affaires Etrangères",$AV$3)</f>
        <v>4</v>
      </c>
      <c r="EV32" t="s">
        <v>201</v>
      </c>
      <c r="EW32">
        <f>GETPIVOTDATA(" Jeunesse et Sports",$CS$3)</f>
        <v>4</v>
      </c>
    </row>
    <row r="33" spans="147:153" x14ac:dyDescent="0.25">
      <c r="EQ33" t="s">
        <v>201</v>
      </c>
      <c r="ER33">
        <f>GETPIVOTDATA(" Jeunesse et Sports",$AV$3)</f>
        <v>4</v>
      </c>
      <c r="EV33" t="s">
        <v>171</v>
      </c>
      <c r="EW33">
        <f>GETPIVOTDATA(" Affaires Etrangères",$CS$3)</f>
        <v>4</v>
      </c>
    </row>
    <row r="34" spans="147:153" x14ac:dyDescent="0.25">
      <c r="EQ34" t="s">
        <v>187</v>
      </c>
      <c r="ER34">
        <f>GETPIVOTDATA(" Transport",$AV$3)</f>
        <v>4</v>
      </c>
      <c r="EV34" t="s">
        <v>187</v>
      </c>
      <c r="EW34">
        <f>GETPIVOTDATA(" Transport",$CS$3)</f>
        <v>4</v>
      </c>
    </row>
    <row r="35" spans="147:153" x14ac:dyDescent="0.25">
      <c r="EQ35" t="s">
        <v>165</v>
      </c>
      <c r="ER35">
        <f>GETPIVOTDATA(" Contrôle d'Etat",$CS$3)</f>
        <v>2</v>
      </c>
      <c r="EV35" t="s">
        <v>183</v>
      </c>
      <c r="EW35">
        <f>GETPIVOTDATA(" Mines et Energie",$CS$3)</f>
        <v>2</v>
      </c>
    </row>
    <row r="36" spans="147:153" x14ac:dyDescent="0.25">
      <c r="EQ36" t="s">
        <v>183</v>
      </c>
      <c r="ER36">
        <f>GETPIVOTDATA(" Mines et Energie",$AV$3)</f>
        <v>2</v>
      </c>
      <c r="EV36" t="s">
        <v>182</v>
      </c>
      <c r="EW36">
        <f>GETPIVOTDATA(" Eaux et Forêts",$CS$3)</f>
        <v>2</v>
      </c>
    </row>
    <row r="37" spans="147:153" x14ac:dyDescent="0.25">
      <c r="EQ37" t="s">
        <v>182</v>
      </c>
      <c r="ER37">
        <f>GETPIVOTDATA(" Eaux et Forêts",$AV$3)</f>
        <v>2</v>
      </c>
      <c r="EV37" t="s">
        <v>168</v>
      </c>
      <c r="EW37">
        <f>GETPIVOTDATA(" Relation avec les Assemblées",$CS$3)</f>
        <v>2</v>
      </c>
    </row>
    <row r="38" spans="147:153" x14ac:dyDescent="0.25">
      <c r="EQ38" t="s">
        <v>168</v>
      </c>
      <c r="ER38">
        <f>GETPIVOTDATA(" Relation avec les Assemblées",$AV$3)</f>
        <v>2</v>
      </c>
      <c r="EV38" t="s">
        <v>165</v>
      </c>
      <c r="EW38">
        <f>GETPIVOTDATA(" Contrôle d'Etat",$CS$3)</f>
        <v>2</v>
      </c>
    </row>
    <row r="39" spans="147:153" x14ac:dyDescent="0.25">
      <c r="EQ39" t="s">
        <v>200</v>
      </c>
      <c r="ER39">
        <f>GETPIVOTDATA(" Formation Professionnelle",$AV$3)</f>
        <v>2</v>
      </c>
      <c r="EV39" t="s">
        <v>200</v>
      </c>
      <c r="EW39">
        <f>GETPIVOTDATA(" Formation Professionnelle",$CS$3)</f>
        <v>2</v>
      </c>
    </row>
    <row r="40" spans="147:153" x14ac:dyDescent="0.25">
      <c r="EQ40" t="s">
        <v>203</v>
      </c>
      <c r="ER40">
        <f>GETPIVOTDATA(" Culture et Arts",$AV$3)</f>
        <v>2</v>
      </c>
      <c r="EV40" t="s">
        <v>203</v>
      </c>
      <c r="EW40">
        <f>GETPIVOTDATA(" Culture et Arts",$CS$3)</f>
        <v>2</v>
      </c>
    </row>
    <row r="41" spans="147:153" x14ac:dyDescent="0.25">
      <c r="EQ41" t="s">
        <v>184</v>
      </c>
      <c r="ER41">
        <f>GETPIVOTDATA(" Pétrole et Hydrocarbures",$AV$3)</f>
        <v>2</v>
      </c>
      <c r="EV41" t="s">
        <v>184</v>
      </c>
      <c r="EW41">
        <f>GETPIVOTDATA(" Pétrole et Hydrocarbures",$CS$3)</f>
        <v>2</v>
      </c>
    </row>
    <row r="42" spans="147:153" x14ac:dyDescent="0.25">
      <c r="EQ42" t="s">
        <v>185</v>
      </c>
      <c r="ER42">
        <f>GETPIVOTDATA(" Travaux Publics Equipement et Construction",$AV$3)</f>
        <v>2</v>
      </c>
      <c r="EV42" t="s">
        <v>185</v>
      </c>
      <c r="EW42">
        <f>GETPIVOTDATA(" Travaux Publics Equipement et Construction",$CS$3)</f>
        <v>2</v>
      </c>
    </row>
    <row r="43" spans="147:153" x14ac:dyDescent="0.25">
      <c r="EQ43" t="s">
        <v>194</v>
      </c>
      <c r="ER43">
        <f>GETPIVOTDATA(" Commerce",$AV$3)</f>
        <v>2</v>
      </c>
      <c r="EV43" t="s">
        <v>194</v>
      </c>
      <c r="EW43">
        <f>GETPIVOTDATA(" Commerce",$CS$3)</f>
        <v>2</v>
      </c>
    </row>
    <row r="44" spans="147:153" x14ac:dyDescent="0.25">
      <c r="EQ44" t="s">
        <v>170</v>
      </c>
      <c r="ER44">
        <f>GETPIVOTDATA(" Agriculture",$AV$3)</f>
        <v>2</v>
      </c>
      <c r="EV44" t="s">
        <v>170</v>
      </c>
      <c r="EW44">
        <f>GETPIVOTDATA(" Agriculture",$CS$3)</f>
        <v>2</v>
      </c>
    </row>
    <row r="45" spans="147:153" x14ac:dyDescent="0.25">
      <c r="EQ45" t="s">
        <v>163</v>
      </c>
      <c r="ER45">
        <f>GETPIVOTDATA(" Présidence",$AV$3)</f>
        <v>1</v>
      </c>
      <c r="EV45" t="s">
        <v>163</v>
      </c>
      <c r="EW45">
        <f>GETPIVOTDATA(" Présidence",$CS$3)</f>
        <v>1</v>
      </c>
    </row>
    <row r="46" spans="147:153" x14ac:dyDescent="0.25">
      <c r="EQ46" t="s">
        <v>169</v>
      </c>
      <c r="ER46">
        <f>GETPIVOTDATA(" Conseil National de la Communication",$AV$3)</f>
        <v>0</v>
      </c>
      <c r="EV46" t="s">
        <v>169</v>
      </c>
      <c r="EW46">
        <f>GETPIVOTDATA(" Conseil National de la Communication",$CS$3)</f>
        <v>0</v>
      </c>
    </row>
    <row r="47" spans="147:153" x14ac:dyDescent="0.25">
      <c r="EQ47" t="s">
        <v>199</v>
      </c>
      <c r="ER47">
        <f>GETPIVOTDATA(" Education Nationale 2",$AV$3)</f>
        <v>0</v>
      </c>
      <c r="EV47" t="s">
        <v>199</v>
      </c>
      <c r="EW47">
        <f>GETPIVOTDATA(" Education Nationale 2",$CS$3)</f>
        <v>0</v>
      </c>
    </row>
    <row r="48" spans="147:153" x14ac:dyDescent="0.25">
      <c r="EQ48" t="s">
        <v>208</v>
      </c>
      <c r="ER48">
        <f>GETPIVOTDATA(" de Stages",$AV$3)</f>
        <v>0</v>
      </c>
      <c r="EV48" t="s">
        <v>210</v>
      </c>
      <c r="EW48">
        <f>GETPIVOTDATA(" Stages",$CS$3)</f>
        <v>0</v>
      </c>
    </row>
    <row r="49" spans="147:153" x14ac:dyDescent="0.25">
      <c r="EQ49" t="s">
        <v>38</v>
      </c>
      <c r="ER49">
        <f>GETPIVOTDATA(" Domaine",$AV$3)</f>
        <v>0</v>
      </c>
      <c r="EV49" t="s">
        <v>38</v>
      </c>
      <c r="EW49">
        <f>GETPIVOTDATA(" Domaine",$CS$3)</f>
        <v>0</v>
      </c>
    </row>
    <row r="50" spans="147:153" x14ac:dyDescent="0.25">
      <c r="EQ50" t="s">
        <v>188</v>
      </c>
      <c r="ER50">
        <f>GETPIVOTDATA(" Marine Marchande",$AV$3)</f>
        <v>0</v>
      </c>
      <c r="EV50" t="s">
        <v>188</v>
      </c>
      <c r="EW50">
        <f>GETPIVOTDATA(" Marine Marchande",$CS$3)</f>
        <v>0</v>
      </c>
    </row>
    <row r="51" spans="147:153" x14ac:dyDescent="0.25">
      <c r="EQ51" t="s">
        <v>180</v>
      </c>
      <c r="ER51">
        <f>GETPIVOTDATA(" Cour Constitutionnelle",$AV$3)</f>
        <v>0</v>
      </c>
      <c r="EV51" t="s">
        <v>180</v>
      </c>
      <c r="EW51">
        <f>GETPIVOTDATA(" Cour Constitutionnelle",$CS$3)</f>
        <v>0</v>
      </c>
    </row>
  </sheetData>
  <mergeCells count="16">
    <mergeCell ref="AG1:AJ1"/>
    <mergeCell ref="CS1:EN1"/>
    <mergeCell ref="EQ1:ER1"/>
    <mergeCell ref="EV1:EW1"/>
    <mergeCell ref="EY1:FK1"/>
    <mergeCell ref="B1:E1"/>
    <mergeCell ref="G1:M1"/>
    <mergeCell ref="T1:Z1"/>
    <mergeCell ref="O1:R1"/>
    <mergeCell ref="AB1:AE1"/>
    <mergeCell ref="FM1:FY1"/>
    <mergeCell ref="GG1:HH1"/>
    <mergeCell ref="HJ1:IK1"/>
    <mergeCell ref="AL1:AO1"/>
    <mergeCell ref="AQ1:AT1"/>
    <mergeCell ref="AV1:CQ1"/>
  </mergeCells>
  <pageMargins left="0.70866141732283472" right="0.70866141732283472" top="0.74803149606299213" bottom="0.74803149606299213" header="0.31496062992125984" footer="0.31496062992125984"/>
  <pageSetup paperSize="9" orientation="landscape" horizontalDpi="300" verticalDpi="300" r:id="rId15"/>
  <drawing r:id="rId16"/>
  <tableParts count="6">
    <tablePart r:id="rId17"/>
    <tablePart r:id="rId18"/>
    <tablePart r:id="rId19"/>
    <tablePart r:id="rId20"/>
    <tablePart r:id="rId21"/>
    <tablePart r:id="rId2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D4489-73C3-42A0-8419-909C1F2F68AC}">
  <sheetPr codeName="Feuil12">
    <tabColor rgb="FF00B050"/>
  </sheetPr>
  <dimension ref="A1:Y58"/>
  <sheetViews>
    <sheetView showGridLines="0" tabSelected="1" topLeftCell="L33" workbookViewId="0">
      <selection activeCell="Y47" sqref="Y47"/>
    </sheetView>
  </sheetViews>
  <sheetFormatPr baseColWidth="10" defaultColWidth="11.42578125" defaultRowHeight="11.25" x14ac:dyDescent="0.2"/>
  <cols>
    <col min="1" max="1" width="2" style="172" customWidth="1"/>
    <col min="2" max="2" width="15.42578125" style="181" customWidth="1"/>
    <col min="3" max="3" width="11.85546875" style="173" customWidth="1"/>
    <col min="4" max="4" width="10.140625" style="173" customWidth="1"/>
    <col min="5" max="5" width="10.5703125" style="173" customWidth="1"/>
    <col min="6" max="6" width="11.140625" style="173" bestFit="1" customWidth="1"/>
    <col min="7" max="7" width="9" style="173" customWidth="1"/>
    <col min="8" max="8" width="2.140625" style="172" customWidth="1"/>
    <col min="9" max="9" width="20.28515625" style="172" customWidth="1"/>
    <col min="10" max="10" width="11" style="172" customWidth="1"/>
    <col min="11" max="11" width="8.140625" style="172" customWidth="1"/>
    <col min="12" max="13" width="7.7109375" style="172" customWidth="1"/>
    <col min="14" max="14" width="3" style="172" bestFit="1" customWidth="1"/>
    <col min="15" max="15" width="18.140625" style="172" customWidth="1"/>
    <col min="16" max="16" width="8.85546875" style="172" customWidth="1"/>
    <col min="17" max="17" width="23.7109375" style="172" customWidth="1"/>
    <col min="18" max="18" width="8.7109375" style="172" customWidth="1"/>
    <col min="19" max="19" width="10" style="172" bestFit="1" customWidth="1"/>
    <col min="20" max="20" width="2.140625" style="242" customWidth="1"/>
    <col min="21" max="21" width="9.140625" style="172" customWidth="1"/>
    <col min="22" max="23" width="19.28515625" style="172" bestFit="1" customWidth="1"/>
    <col min="24" max="24" width="22.5703125" style="172" bestFit="1" customWidth="1"/>
    <col min="25" max="25" width="7.28515625" style="172" customWidth="1"/>
    <col min="26" max="16384" width="11.42578125" style="172"/>
  </cols>
  <sheetData>
    <row r="1" spans="1:25" hidden="1" x14ac:dyDescent="0.2">
      <c r="A1" s="174"/>
      <c r="B1" s="179"/>
      <c r="C1" s="176"/>
      <c r="D1" s="176"/>
      <c r="E1" s="176"/>
      <c r="F1" s="176"/>
      <c r="G1" s="176"/>
      <c r="H1" s="182"/>
      <c r="I1" s="175"/>
      <c r="J1" s="175"/>
      <c r="K1" s="175"/>
      <c r="L1" s="175"/>
      <c r="M1" s="175"/>
      <c r="N1" s="232"/>
      <c r="O1" s="175"/>
      <c r="P1" s="175"/>
      <c r="Q1" s="175"/>
      <c r="R1" s="198"/>
      <c r="S1" s="198"/>
      <c r="T1" s="237"/>
      <c r="U1" s="175"/>
      <c r="V1" s="175"/>
      <c r="W1" s="175"/>
      <c r="X1" s="175"/>
      <c r="Y1" s="177"/>
    </row>
    <row r="2" spans="1:25" hidden="1" x14ac:dyDescent="0.2">
      <c r="A2" s="170"/>
      <c r="B2" s="180"/>
      <c r="C2" s="195"/>
      <c r="D2" s="195"/>
      <c r="E2" s="195"/>
      <c r="F2" s="195"/>
      <c r="G2" s="195"/>
      <c r="H2" s="183"/>
      <c r="I2" s="178"/>
      <c r="J2" s="178"/>
      <c r="K2" s="178"/>
      <c r="L2" s="178"/>
      <c r="M2" s="178"/>
      <c r="N2" s="233"/>
      <c r="O2" s="178"/>
      <c r="P2" s="178"/>
      <c r="Q2" s="178"/>
      <c r="R2" s="198"/>
      <c r="S2" s="198"/>
      <c r="T2" s="238"/>
      <c r="U2" s="178"/>
      <c r="V2" s="178"/>
      <c r="W2" s="178"/>
      <c r="X2" s="178"/>
      <c r="Y2" s="171"/>
    </row>
    <row r="3" spans="1:25" s="205" customFormat="1" ht="15" x14ac:dyDescent="0.25">
      <c r="A3" s="199"/>
      <c r="B3" s="200"/>
      <c r="C3" s="201"/>
      <c r="D3" s="201"/>
      <c r="E3" s="201"/>
      <c r="F3" s="201"/>
      <c r="G3" s="201"/>
      <c r="H3" s="202"/>
      <c r="I3" s="203"/>
      <c r="J3" s="203"/>
      <c r="K3" s="203"/>
      <c r="L3" s="203"/>
      <c r="M3" s="203"/>
      <c r="N3" s="234"/>
      <c r="O3" s="204"/>
      <c r="P3" s="204"/>
      <c r="Q3" s="204"/>
      <c r="R3" s="204"/>
      <c r="S3" s="204"/>
      <c r="T3" s="239"/>
      <c r="U3" s="285"/>
      <c r="V3" s="285"/>
      <c r="W3" s="285"/>
      <c r="X3" s="285"/>
      <c r="Y3" s="286"/>
    </row>
    <row r="4" spans="1:25" s="205" customFormat="1" ht="15" x14ac:dyDescent="0.25">
      <c r="A4" s="199"/>
      <c r="B4" s="200"/>
      <c r="C4" s="201"/>
      <c r="D4" s="201"/>
      <c r="E4" s="201"/>
      <c r="F4" s="201"/>
      <c r="G4" s="201"/>
      <c r="H4" s="202"/>
      <c r="I4" s="203"/>
      <c r="J4" s="203"/>
      <c r="K4" s="203"/>
      <c r="L4" s="203"/>
      <c r="M4" s="203"/>
      <c r="N4" s="234"/>
      <c r="O4" s="204"/>
      <c r="P4" s="204"/>
      <c r="Q4" s="204"/>
      <c r="R4" s="204"/>
      <c r="S4" s="204"/>
      <c r="T4" s="239"/>
      <c r="U4" s="285"/>
      <c r="V4" s="285"/>
      <c r="W4" s="285"/>
      <c r="X4" s="285"/>
      <c r="Y4" s="286"/>
    </row>
    <row r="5" spans="1:25" s="205" customFormat="1" ht="15" x14ac:dyDescent="0.25">
      <c r="A5" s="199"/>
      <c r="B5" s="200"/>
      <c r="C5" s="201"/>
      <c r="D5" s="201"/>
      <c r="E5" s="201"/>
      <c r="F5" s="201"/>
      <c r="G5" s="201"/>
      <c r="H5" s="202"/>
      <c r="I5" s="203"/>
      <c r="J5" s="203"/>
      <c r="K5" s="203"/>
      <c r="L5" s="203"/>
      <c r="M5" s="203"/>
      <c r="N5" s="234"/>
      <c r="O5" s="204"/>
      <c r="P5" s="204"/>
      <c r="Q5" s="204"/>
      <c r="R5" s="204"/>
      <c r="S5" s="204"/>
      <c r="T5" s="239"/>
      <c r="U5" s="285"/>
      <c r="V5" s="285"/>
      <c r="W5" s="285"/>
      <c r="X5" s="285"/>
      <c r="Y5" s="286"/>
    </row>
    <row r="6" spans="1:25" s="205" customFormat="1" ht="15" x14ac:dyDescent="0.25">
      <c r="A6" s="199"/>
      <c r="B6" s="200"/>
      <c r="C6" s="287" t="s">
        <v>273</v>
      </c>
      <c r="D6" s="288"/>
      <c r="E6" s="288"/>
      <c r="F6" s="288"/>
      <c r="G6" s="289"/>
      <c r="H6" s="202"/>
      <c r="I6" s="203"/>
      <c r="J6" s="203"/>
      <c r="K6" s="203"/>
      <c r="L6" s="203"/>
      <c r="M6" s="203"/>
      <c r="N6" s="234"/>
      <c r="O6" s="204"/>
      <c r="P6" s="204"/>
      <c r="Q6" s="204"/>
      <c r="R6" s="204"/>
      <c r="S6" s="204"/>
      <c r="T6" s="239"/>
      <c r="U6" s="203"/>
      <c r="V6" s="203"/>
      <c r="W6" s="203"/>
      <c r="X6" s="203"/>
      <c r="Y6" s="206"/>
    </row>
    <row r="7" spans="1:25" s="205" customFormat="1" ht="30" x14ac:dyDescent="0.25">
      <c r="A7" s="199"/>
      <c r="B7" s="200"/>
      <c r="C7" s="247" t="s">
        <v>231</v>
      </c>
      <c r="D7" s="248" t="s">
        <v>274</v>
      </c>
      <c r="E7" s="253" t="s">
        <v>231</v>
      </c>
      <c r="F7" s="254" t="s">
        <v>275</v>
      </c>
      <c r="G7" s="227" t="s">
        <v>346</v>
      </c>
      <c r="H7" s="202"/>
      <c r="I7" s="203"/>
      <c r="J7" s="203"/>
      <c r="K7" s="203"/>
      <c r="L7" s="203"/>
      <c r="M7" s="203"/>
      <c r="N7" s="234"/>
      <c r="O7" s="204"/>
      <c r="P7" s="204"/>
      <c r="Q7" s="204"/>
      <c r="R7" s="204"/>
      <c r="S7" s="204"/>
      <c r="T7" s="239"/>
      <c r="U7" s="203"/>
      <c r="V7" s="203"/>
      <c r="W7" s="203"/>
      <c r="X7" s="203"/>
      <c r="Y7" s="206"/>
    </row>
    <row r="8" spans="1:25" s="205" customFormat="1" ht="15" x14ac:dyDescent="0.25">
      <c r="A8" s="199"/>
      <c r="B8" s="200">
        <v>1</v>
      </c>
      <c r="C8" s="207" t="str">
        <f>CALCUL!GD5</f>
        <v>BDC 195</v>
      </c>
      <c r="D8" s="208">
        <f>CALCUL!GE5</f>
        <v>578</v>
      </c>
      <c r="E8" s="207" t="str">
        <f>CALCUL!GA5</f>
        <v>BDC 195</v>
      </c>
      <c r="F8" s="208">
        <f>CALCUL!GB5</f>
        <v>578</v>
      </c>
      <c r="G8" s="231">
        <f>IF(C8=E8,(F8-D8)/D8,"")</f>
        <v>0</v>
      </c>
      <c r="H8" s="202"/>
      <c r="I8" s="203"/>
      <c r="J8" s="203"/>
      <c r="K8" s="203"/>
      <c r="L8" s="203"/>
      <c r="M8" s="203"/>
      <c r="N8" s="234"/>
      <c r="O8" s="204"/>
      <c r="P8" s="204"/>
      <c r="Q8" s="204"/>
      <c r="R8" s="204"/>
      <c r="S8" s="204"/>
      <c r="T8" s="239"/>
      <c r="U8" s="203"/>
      <c r="V8" s="203"/>
      <c r="W8" s="203"/>
      <c r="X8" s="203"/>
      <c r="Y8" s="206"/>
    </row>
    <row r="9" spans="1:25" s="205" customFormat="1" ht="15" x14ac:dyDescent="0.25">
      <c r="A9" s="199"/>
      <c r="B9" s="200">
        <v>2</v>
      </c>
      <c r="C9" s="207" t="str">
        <f>CALCUL!GD6</f>
        <v>BDC 190</v>
      </c>
      <c r="D9" s="208">
        <f>CALCUL!GE6</f>
        <v>493</v>
      </c>
      <c r="E9" s="207" t="str">
        <f>CALCUL!GA6</f>
        <v>BDC 190</v>
      </c>
      <c r="F9" s="208">
        <f>CALCUL!GB6</f>
        <v>493</v>
      </c>
      <c r="G9" s="231">
        <f t="shared" ref="G9:G16" si="0">IF(C9=E9,(F9-D9)/D9,"")</f>
        <v>0</v>
      </c>
      <c r="H9" s="202"/>
      <c r="I9" s="203"/>
      <c r="J9" s="203"/>
      <c r="K9" s="203"/>
      <c r="L9" s="203"/>
      <c r="M9" s="203"/>
      <c r="N9" s="234"/>
      <c r="O9" s="204"/>
      <c r="P9" s="204"/>
      <c r="Q9" s="204"/>
      <c r="R9" s="204"/>
      <c r="S9" s="204"/>
      <c r="T9" s="239"/>
      <c r="U9" s="203"/>
      <c r="V9" s="203"/>
      <c r="W9" s="203"/>
      <c r="X9" s="203"/>
      <c r="Y9" s="206"/>
    </row>
    <row r="10" spans="1:25" s="205" customFormat="1" ht="15" x14ac:dyDescent="0.25">
      <c r="A10" s="199"/>
      <c r="B10" s="200">
        <v>3</v>
      </c>
      <c r="C10" s="207" t="str">
        <f>CALCUL!GD7</f>
        <v>BDC 192</v>
      </c>
      <c r="D10" s="208">
        <f>CALCUL!GE7</f>
        <v>47</v>
      </c>
      <c r="E10" s="207" t="str">
        <f>CALCUL!GA7</f>
        <v>BDC 192</v>
      </c>
      <c r="F10" s="208">
        <f>CALCUL!GB7</f>
        <v>47</v>
      </c>
      <c r="G10" s="231">
        <f t="shared" si="0"/>
        <v>0</v>
      </c>
      <c r="H10" s="202"/>
      <c r="I10" s="203"/>
      <c r="J10" s="203"/>
      <c r="K10" s="203"/>
      <c r="L10" s="203"/>
      <c r="M10" s="203"/>
      <c r="N10" s="234"/>
      <c r="O10" s="204"/>
      <c r="P10" s="204"/>
      <c r="Q10" s="204"/>
      <c r="R10" s="204"/>
      <c r="S10" s="204"/>
      <c r="T10" s="239"/>
      <c r="U10" s="203"/>
      <c r="V10" s="203"/>
      <c r="W10" s="203"/>
      <c r="X10" s="203"/>
      <c r="Y10" s="206"/>
    </row>
    <row r="11" spans="1:25" s="205" customFormat="1" ht="15" customHeight="1" x14ac:dyDescent="0.25">
      <c r="A11" s="199"/>
      <c r="B11" s="200">
        <v>4</v>
      </c>
      <c r="C11" s="207" t="str">
        <f>CALCUL!GD8</f>
        <v>BDC 193</v>
      </c>
      <c r="D11" s="208">
        <f>CALCUL!GE8</f>
        <v>27</v>
      </c>
      <c r="E11" s="207" t="str">
        <f>CALCUL!GA8</f>
        <v>BDC 193</v>
      </c>
      <c r="F11" s="208">
        <f>CALCUL!GB8</f>
        <v>27</v>
      </c>
      <c r="G11" s="231">
        <f t="shared" si="0"/>
        <v>0</v>
      </c>
      <c r="H11" s="202"/>
      <c r="I11" s="203"/>
      <c r="J11" s="203"/>
      <c r="K11" s="203"/>
      <c r="L11" s="203"/>
      <c r="M11" s="203"/>
      <c r="N11" s="234"/>
      <c r="O11" s="204"/>
      <c r="P11" s="204"/>
      <c r="Q11" s="204"/>
      <c r="R11" s="204"/>
      <c r="S11" s="204"/>
      <c r="T11" s="239"/>
      <c r="U11" s="203"/>
      <c r="V11" s="203"/>
      <c r="W11" s="203"/>
      <c r="X11" s="203"/>
      <c r="Y11" s="206"/>
    </row>
    <row r="12" spans="1:25" s="205" customFormat="1" ht="15" x14ac:dyDescent="0.25">
      <c r="A12" s="199"/>
      <c r="B12" s="200">
        <v>5</v>
      </c>
      <c r="C12" s="207" t="str">
        <f>CALCUL!GD9</f>
        <v>BDC 194</v>
      </c>
      <c r="D12" s="208">
        <f>CALCUL!GE9</f>
        <v>7</v>
      </c>
      <c r="E12" s="207" t="str">
        <f>CALCUL!GA9</f>
        <v>BDC 194</v>
      </c>
      <c r="F12" s="208">
        <f>CALCUL!GB9</f>
        <v>7</v>
      </c>
      <c r="G12" s="231">
        <f t="shared" si="0"/>
        <v>0</v>
      </c>
      <c r="H12" s="202"/>
      <c r="I12" s="203"/>
      <c r="J12" s="203"/>
      <c r="K12" s="203"/>
      <c r="L12" s="203"/>
      <c r="M12" s="203"/>
      <c r="N12" s="234"/>
      <c r="O12" s="204"/>
      <c r="P12" s="204"/>
      <c r="Q12" s="204"/>
      <c r="R12" s="204"/>
      <c r="S12" s="204"/>
      <c r="T12" s="239"/>
      <c r="U12" s="203"/>
      <c r="V12" s="203"/>
      <c r="W12" s="203"/>
      <c r="X12" s="203"/>
      <c r="Y12" s="206"/>
    </row>
    <row r="13" spans="1:25" s="205" customFormat="1" ht="15" x14ac:dyDescent="0.25">
      <c r="A13" s="199"/>
      <c r="B13" s="200">
        <v>6</v>
      </c>
      <c r="C13" s="207" t="str">
        <f>CALCUL!GD10</f>
        <v>BDC 184</v>
      </c>
      <c r="D13" s="208">
        <f>CALCUL!GE10</f>
        <v>5</v>
      </c>
      <c r="E13" s="207" t="str">
        <f>CALCUL!GA10</f>
        <v>BDC 184</v>
      </c>
      <c r="F13" s="208">
        <f>CALCUL!GB10</f>
        <v>5</v>
      </c>
      <c r="G13" s="231">
        <f t="shared" si="0"/>
        <v>0</v>
      </c>
      <c r="H13" s="202"/>
      <c r="I13" s="203"/>
      <c r="J13" s="203"/>
      <c r="K13" s="203"/>
      <c r="L13" s="203"/>
      <c r="M13" s="203"/>
      <c r="N13" s="234"/>
      <c r="O13" s="204"/>
      <c r="P13" s="204"/>
      <c r="Q13" s="204"/>
      <c r="R13" s="204"/>
      <c r="S13" s="204"/>
      <c r="T13" s="239"/>
      <c r="U13" s="203"/>
      <c r="V13" s="203"/>
      <c r="W13" s="203"/>
      <c r="X13" s="203"/>
      <c r="Y13" s="206"/>
    </row>
    <row r="14" spans="1:25" s="205" customFormat="1" ht="15" x14ac:dyDescent="0.25">
      <c r="A14" s="199"/>
      <c r="B14" s="200">
        <v>7</v>
      </c>
      <c r="C14" s="207" t="str">
        <f>CALCUL!GD11</f>
        <v>BDC 188</v>
      </c>
      <c r="D14" s="208">
        <f>CALCUL!GE11</f>
        <v>4</v>
      </c>
      <c r="E14" s="207" t="str">
        <f>CALCUL!GA11</f>
        <v>BDC 188</v>
      </c>
      <c r="F14" s="208">
        <f>CALCUL!GB11</f>
        <v>4</v>
      </c>
      <c r="G14" s="231">
        <f t="shared" si="0"/>
        <v>0</v>
      </c>
      <c r="H14" s="202"/>
      <c r="I14" s="203"/>
      <c r="J14" s="203"/>
      <c r="K14" s="203"/>
      <c r="L14" s="203"/>
      <c r="M14" s="203"/>
      <c r="N14" s="234"/>
      <c r="O14" s="204"/>
      <c r="P14" s="204"/>
      <c r="Q14" s="204"/>
      <c r="R14" s="204"/>
      <c r="S14" s="204"/>
      <c r="T14" s="239"/>
      <c r="U14" s="203"/>
      <c r="V14" s="203"/>
      <c r="W14" s="203"/>
      <c r="X14" s="203"/>
      <c r="Y14" s="206"/>
    </row>
    <row r="15" spans="1:25" s="205" customFormat="1" ht="15" x14ac:dyDescent="0.25">
      <c r="A15" s="199"/>
      <c r="B15" s="200">
        <v>8</v>
      </c>
      <c r="C15" s="207" t="str">
        <f>CALCUL!GD12</f>
        <v>BDC 198</v>
      </c>
      <c r="D15" s="208">
        <f>CALCUL!GE12</f>
        <v>3</v>
      </c>
      <c r="E15" s="207" t="str">
        <f>CALCUL!GA12</f>
        <v>BDC 199</v>
      </c>
      <c r="F15" s="208">
        <f>CALCUL!GB12</f>
        <v>2</v>
      </c>
      <c r="G15" s="231" t="str">
        <f t="shared" si="0"/>
        <v/>
      </c>
      <c r="H15" s="202"/>
      <c r="I15" s="203"/>
      <c r="J15" s="203"/>
      <c r="K15" s="203"/>
      <c r="L15" s="203"/>
      <c r="M15" s="203"/>
      <c r="N15" s="234"/>
      <c r="O15" s="204"/>
      <c r="P15" s="204"/>
      <c r="Q15" s="204"/>
      <c r="R15" s="204"/>
      <c r="S15" s="204"/>
      <c r="T15" s="239"/>
      <c r="U15" s="203"/>
      <c r="V15" s="203"/>
      <c r="W15" s="203"/>
      <c r="X15" s="203"/>
      <c r="Y15" s="206"/>
    </row>
    <row r="16" spans="1:25" s="205" customFormat="1" ht="15" x14ac:dyDescent="0.25">
      <c r="A16" s="199"/>
      <c r="B16" s="200">
        <v>9</v>
      </c>
      <c r="C16" s="207" t="str">
        <f>CALCUL!GD13</f>
        <v>BDC 199</v>
      </c>
      <c r="D16" s="208">
        <f>CALCUL!GE13</f>
        <v>2</v>
      </c>
      <c r="E16" s="207" t="str">
        <f>CALCUL!GA13</f>
        <v>BDC 198</v>
      </c>
      <c r="F16" s="208">
        <f>CALCUL!GB13</f>
        <v>3</v>
      </c>
      <c r="G16" s="231" t="str">
        <f t="shared" si="0"/>
        <v/>
      </c>
      <c r="H16" s="202"/>
      <c r="I16" s="203"/>
      <c r="J16" s="203"/>
      <c r="K16" s="203"/>
      <c r="L16" s="203"/>
      <c r="M16" s="203"/>
      <c r="N16" s="234"/>
      <c r="O16" s="204"/>
      <c r="P16" s="204"/>
      <c r="Q16" s="204"/>
      <c r="R16" s="204"/>
      <c r="S16" s="204"/>
      <c r="T16" s="239"/>
      <c r="U16" s="203"/>
      <c r="V16" s="203"/>
      <c r="W16" s="203"/>
      <c r="X16" s="203"/>
      <c r="Y16" s="206"/>
    </row>
    <row r="17" spans="1:25" s="205" customFormat="1" ht="15" x14ac:dyDescent="0.25">
      <c r="A17" s="199"/>
      <c r="B17" s="200">
        <v>10</v>
      </c>
      <c r="C17" s="207" t="str">
        <f>CALCUL!GD14</f>
        <v>BDC 101</v>
      </c>
      <c r="D17" s="208">
        <f>CALCUL!GE14</f>
        <v>0</v>
      </c>
      <c r="E17" s="207" t="str">
        <f>CALCUL!GA14</f>
        <v>BDC 101</v>
      </c>
      <c r="F17" s="208">
        <f>CALCUL!GB14</f>
        <v>0</v>
      </c>
      <c r="G17" s="231" t="e">
        <f>IF(C17=E17,(F17-D17)/D17,"")</f>
        <v>#DIV/0!</v>
      </c>
      <c r="H17" s="202"/>
      <c r="I17" s="203"/>
      <c r="J17" s="203"/>
      <c r="K17" s="203"/>
      <c r="L17" s="203"/>
      <c r="M17" s="203"/>
      <c r="N17" s="234"/>
      <c r="O17" s="204"/>
      <c r="P17" s="204"/>
      <c r="Q17" s="204"/>
      <c r="R17" s="204"/>
      <c r="S17" s="204"/>
      <c r="T17" s="239"/>
      <c r="U17" s="203"/>
      <c r="V17" s="203"/>
      <c r="W17" s="203"/>
      <c r="X17" s="203"/>
      <c r="Y17" s="206"/>
    </row>
    <row r="18" spans="1:25" s="205" customFormat="1" ht="15" x14ac:dyDescent="0.25">
      <c r="A18" s="199"/>
      <c r="B18" s="200"/>
      <c r="H18" s="202"/>
      <c r="I18" s="203"/>
      <c r="J18" s="203"/>
      <c r="K18" s="203"/>
      <c r="L18" s="203"/>
      <c r="M18" s="203"/>
      <c r="N18" s="234"/>
      <c r="O18" s="204"/>
      <c r="P18" s="204"/>
      <c r="Q18" s="204"/>
      <c r="R18" s="204"/>
      <c r="S18" s="204"/>
      <c r="T18" s="239"/>
      <c r="U18" s="203"/>
      <c r="V18" s="203"/>
      <c r="W18" s="203"/>
      <c r="X18" s="203"/>
      <c r="Y18" s="206"/>
    </row>
    <row r="19" spans="1:25" s="205" customFormat="1" ht="15" x14ac:dyDescent="0.25">
      <c r="A19" s="199"/>
      <c r="B19" s="200"/>
      <c r="H19" s="202"/>
      <c r="I19" s="203"/>
      <c r="J19" s="203"/>
      <c r="K19" s="203"/>
      <c r="L19" s="203"/>
      <c r="M19" s="203"/>
      <c r="N19" s="234"/>
      <c r="O19" s="291" t="s">
        <v>336</v>
      </c>
      <c r="P19" s="291"/>
      <c r="Q19" s="291"/>
      <c r="R19" s="291"/>
      <c r="S19" s="291"/>
      <c r="T19" s="239"/>
      <c r="U19" s="203"/>
      <c r="V19" s="203"/>
      <c r="W19" s="203"/>
      <c r="X19" s="203"/>
      <c r="Y19" s="206"/>
    </row>
    <row r="20" spans="1:25" s="205" customFormat="1" ht="30" x14ac:dyDescent="0.25">
      <c r="A20" s="199"/>
      <c r="B20" s="200"/>
      <c r="H20" s="202"/>
      <c r="I20" s="203"/>
      <c r="J20" s="203"/>
      <c r="K20" s="203"/>
      <c r="L20" s="203"/>
      <c r="M20" s="203"/>
      <c r="N20" s="234"/>
      <c r="O20" s="244" t="s">
        <v>283</v>
      </c>
      <c r="P20" s="245" t="s">
        <v>276</v>
      </c>
      <c r="Q20" s="243" t="s">
        <v>283</v>
      </c>
      <c r="R20" s="257" t="s">
        <v>284</v>
      </c>
      <c r="S20" s="258" t="s">
        <v>346</v>
      </c>
      <c r="T20" s="241"/>
      <c r="U20" s="203"/>
      <c r="V20" s="203"/>
      <c r="W20" s="203"/>
      <c r="X20" s="203"/>
      <c r="Y20" s="206"/>
    </row>
    <row r="21" spans="1:25" s="205" customFormat="1" ht="15" x14ac:dyDescent="0.25">
      <c r="A21" s="199"/>
      <c r="B21" s="200"/>
      <c r="H21" s="202"/>
      <c r="I21" s="247"/>
      <c r="J21" s="247" t="s">
        <v>277</v>
      </c>
      <c r="K21" s="253" t="s">
        <v>278</v>
      </c>
      <c r="L21" s="228" t="s">
        <v>279</v>
      </c>
      <c r="M21" s="228" t="s">
        <v>280</v>
      </c>
      <c r="N21" s="234">
        <v>1</v>
      </c>
      <c r="O21" s="209" t="str">
        <f>CALCUL!EV5</f>
        <v xml:space="preserve"> Education Nationale 1</v>
      </c>
      <c r="P21" s="269">
        <f>CALCUL!EW5</f>
        <v>516</v>
      </c>
      <c r="Q21" s="269" t="str">
        <f>CALCUL!EQ5</f>
        <v xml:space="preserve"> Education Nationale 1</v>
      </c>
      <c r="R21" s="269">
        <f>CALCUL!ER5</f>
        <v>516</v>
      </c>
      <c r="S21" s="225">
        <f t="shared" ref="S21:S30" si="1">IF(O21=Q21,(R21-P21)/P21,"")</f>
        <v>0</v>
      </c>
      <c r="T21" s="241"/>
      <c r="U21" s="203"/>
      <c r="V21" s="203"/>
      <c r="W21" s="203"/>
      <c r="X21" s="203"/>
      <c r="Y21" s="206"/>
    </row>
    <row r="22" spans="1:25" s="205" customFormat="1" ht="15" x14ac:dyDescent="0.25">
      <c r="A22" s="199"/>
      <c r="B22" s="200"/>
      <c r="H22" s="202"/>
      <c r="I22" s="211" t="s">
        <v>133</v>
      </c>
      <c r="J22" s="212">
        <f>GETPIVOTDATA(" BDC 187",CALCUL!$AG$2)</f>
        <v>564</v>
      </c>
      <c r="K22" s="212">
        <f>GETPIVOTDATA(" BDC 187",CALCUL!$AB$2)</f>
        <v>564</v>
      </c>
      <c r="L22" s="226">
        <f>(K22-J22)</f>
        <v>0</v>
      </c>
      <c r="M22" s="229">
        <f>IFERROR(L22/J22,"")</f>
        <v>0</v>
      </c>
      <c r="N22" s="234">
        <v>2</v>
      </c>
      <c r="O22" s="209" t="str">
        <f>CALCUL!EV6</f>
        <v xml:space="preserve"> Hauts Fonctionnaires</v>
      </c>
      <c r="P22" s="209">
        <f>CALCUL!EW6</f>
        <v>507</v>
      </c>
      <c r="Q22" s="209" t="str">
        <f>CALCUL!EQ6</f>
        <v xml:space="preserve"> Hauts Fonctionnaires</v>
      </c>
      <c r="R22" s="210">
        <f>CALCUL!ER6</f>
        <v>507</v>
      </c>
      <c r="S22" s="225">
        <f t="shared" si="1"/>
        <v>0</v>
      </c>
      <c r="T22" s="239"/>
      <c r="U22" s="203"/>
      <c r="V22" s="203"/>
      <c r="W22" s="203"/>
      <c r="X22" s="203"/>
      <c r="Y22" s="206"/>
    </row>
    <row r="23" spans="1:25" s="205" customFormat="1" ht="15" x14ac:dyDescent="0.25">
      <c r="A23" s="199"/>
      <c r="B23" s="200"/>
      <c r="C23" s="201"/>
      <c r="D23" s="201"/>
      <c r="E23" s="201"/>
      <c r="F23" s="201"/>
      <c r="G23" s="201"/>
      <c r="H23" s="202"/>
      <c r="I23" s="211" t="s">
        <v>281</v>
      </c>
      <c r="J23" s="212">
        <f>GETPIVOTDATA(" BDC 187 régul.",CALCUL!$AG$2)</f>
        <v>0</v>
      </c>
      <c r="K23" s="212">
        <f>GETPIVOTDATA(" BDC 187 régul.",CALCUL!$AB$2)</f>
        <v>0</v>
      </c>
      <c r="L23" s="226">
        <f>(K23-J23)</f>
        <v>0</v>
      </c>
      <c r="M23" s="229" t="str">
        <f>IFERROR(L23/J23,"")</f>
        <v/>
      </c>
      <c r="N23" s="234">
        <v>3</v>
      </c>
      <c r="O23" s="209" t="str">
        <f>CALCUL!EV7</f>
        <v xml:space="preserve"> Gendamerie Nationale</v>
      </c>
      <c r="P23" s="209">
        <f>CALCUL!EW7</f>
        <v>278</v>
      </c>
      <c r="Q23" s="209" t="str">
        <f>CALCUL!EQ7</f>
        <v xml:space="preserve"> Gendamerie Nationale</v>
      </c>
      <c r="R23" s="210">
        <f>CALCUL!ER7</f>
        <v>278</v>
      </c>
      <c r="S23" s="225">
        <f t="shared" si="1"/>
        <v>0</v>
      </c>
      <c r="T23" s="239"/>
      <c r="U23" s="203"/>
      <c r="V23" s="203"/>
      <c r="W23" s="203"/>
      <c r="X23" s="203"/>
      <c r="Y23" s="206"/>
    </row>
    <row r="24" spans="1:25" s="205" customFormat="1" ht="15" x14ac:dyDescent="0.25">
      <c r="A24" s="199"/>
      <c r="B24" s="200"/>
      <c r="C24" s="201"/>
      <c r="D24" s="201"/>
      <c r="E24" s="201"/>
      <c r="F24" s="201"/>
      <c r="G24" s="201"/>
      <c r="H24" s="202"/>
      <c r="I24" s="211" t="s">
        <v>282</v>
      </c>
      <c r="J24" s="212">
        <f>GETPIVOTDATA(" BDC 187 non régul.",CALCUL!$AG$2)</f>
        <v>564</v>
      </c>
      <c r="K24" s="212">
        <f>GETPIVOTDATA(" BDC 187 non régul.",CALCUL!$AB$2)</f>
        <v>564</v>
      </c>
      <c r="L24" s="226">
        <f>(K24-J24)</f>
        <v>0</v>
      </c>
      <c r="M24" s="229">
        <f>IFERROR(L24/J24,"")</f>
        <v>0</v>
      </c>
      <c r="N24" s="234">
        <v>4</v>
      </c>
      <c r="O24" s="209" t="str">
        <f>CALCUL!EV8</f>
        <v xml:space="preserve"> Santé Publique</v>
      </c>
      <c r="P24" s="209">
        <f>CALCUL!EW8</f>
        <v>254</v>
      </c>
      <c r="Q24" s="209" t="str">
        <f>CALCUL!EQ8</f>
        <v xml:space="preserve"> Santé Publique</v>
      </c>
      <c r="R24" s="210">
        <f>CALCUL!ER8</f>
        <v>254</v>
      </c>
      <c r="S24" s="225">
        <f t="shared" si="1"/>
        <v>0</v>
      </c>
      <c r="T24" s="239"/>
      <c r="U24" s="203"/>
      <c r="V24" s="203"/>
      <c r="W24" s="203"/>
      <c r="X24" s="203"/>
      <c r="Y24" s="206"/>
    </row>
    <row r="25" spans="1:25" s="205" customFormat="1" ht="15" x14ac:dyDescent="0.25">
      <c r="A25" s="199"/>
      <c r="B25" s="200"/>
      <c r="C25" s="201"/>
      <c r="D25" s="201"/>
      <c r="E25" s="201"/>
      <c r="F25" s="201"/>
      <c r="G25" s="201"/>
      <c r="H25" s="202"/>
      <c r="I25" s="203"/>
      <c r="J25" s="203"/>
      <c r="K25" s="203"/>
      <c r="L25" s="203"/>
      <c r="M25" s="203"/>
      <c r="N25" s="234">
        <v>5</v>
      </c>
      <c r="O25" s="209" t="str">
        <f>CALCUL!EV9</f>
        <v xml:space="preserve"> Défense Nationale</v>
      </c>
      <c r="P25" s="209">
        <f>CALCUL!EW9</f>
        <v>242</v>
      </c>
      <c r="Q25" s="209" t="str">
        <f>CALCUL!EQ9</f>
        <v xml:space="preserve"> Défense Nationale</v>
      </c>
      <c r="R25" s="210">
        <f>CALCUL!ER9</f>
        <v>242</v>
      </c>
      <c r="S25" s="225">
        <f t="shared" si="1"/>
        <v>0</v>
      </c>
      <c r="T25" s="239"/>
      <c r="U25" s="203"/>
      <c r="V25" s="203"/>
      <c r="W25" s="203"/>
      <c r="X25" s="203"/>
      <c r="Y25" s="206"/>
    </row>
    <row r="26" spans="1:25" s="205" customFormat="1" ht="15" x14ac:dyDescent="0.25">
      <c r="A26" s="199"/>
      <c r="B26" s="200"/>
      <c r="C26" s="201"/>
      <c r="D26" s="201"/>
      <c r="E26" s="201"/>
      <c r="F26" s="201"/>
      <c r="G26" s="201"/>
      <c r="H26" s="202"/>
      <c r="I26" s="203"/>
      <c r="J26" s="203"/>
      <c r="K26" s="203"/>
      <c r="L26" s="203"/>
      <c r="M26" s="203"/>
      <c r="N26" s="234">
        <v>6</v>
      </c>
      <c r="O26" s="209" t="str">
        <f>CALCUL!EV10</f>
        <v xml:space="preserve"> Justice</v>
      </c>
      <c r="P26" s="209">
        <f>CALCUL!EW10</f>
        <v>170</v>
      </c>
      <c r="Q26" s="209" t="str">
        <f>CALCUL!EQ10</f>
        <v xml:space="preserve"> Justice</v>
      </c>
      <c r="R26" s="210">
        <f>CALCUL!ER10</f>
        <v>170</v>
      </c>
      <c r="S26" s="225">
        <f t="shared" si="1"/>
        <v>0</v>
      </c>
      <c r="T26" s="239"/>
      <c r="U26" s="203"/>
      <c r="V26" s="203"/>
      <c r="W26" s="203"/>
      <c r="X26" s="203"/>
      <c r="Y26" s="206"/>
    </row>
    <row r="27" spans="1:25" s="205" customFormat="1" ht="15" x14ac:dyDescent="0.25">
      <c r="A27" s="199"/>
      <c r="B27" s="200"/>
      <c r="C27" s="201"/>
      <c r="D27" s="201"/>
      <c r="E27" s="201"/>
      <c r="F27" s="201"/>
      <c r="G27" s="201"/>
      <c r="H27" s="202"/>
      <c r="I27" s="203"/>
      <c r="J27" s="203"/>
      <c r="K27" s="203"/>
      <c r="L27" s="203"/>
      <c r="M27" s="203"/>
      <c r="N27" s="234">
        <v>7</v>
      </c>
      <c r="O27" s="209" t="str">
        <f>CALCUL!EV11</f>
        <v xml:space="preserve"> Affaire Sociales</v>
      </c>
      <c r="P27" s="209">
        <f>CALCUL!EW11</f>
        <v>125</v>
      </c>
      <c r="Q27" s="209" t="str">
        <f>CALCUL!EQ11</f>
        <v xml:space="preserve"> Forces Terrestres et Navales</v>
      </c>
      <c r="R27" s="210">
        <f>CALCUL!ER11</f>
        <v>122</v>
      </c>
      <c r="S27" s="225" t="str">
        <f t="shared" si="1"/>
        <v/>
      </c>
      <c r="T27" s="239"/>
      <c r="U27" s="203"/>
      <c r="V27" s="203"/>
      <c r="W27" s="203"/>
      <c r="X27" s="203"/>
      <c r="Y27" s="206"/>
    </row>
    <row r="28" spans="1:25" s="205" customFormat="1" ht="15" x14ac:dyDescent="0.25">
      <c r="A28" s="199"/>
      <c r="B28" s="200"/>
      <c r="C28" s="201"/>
      <c r="D28" s="201"/>
      <c r="E28" s="201"/>
      <c r="F28" s="201"/>
      <c r="G28" s="201"/>
      <c r="H28" s="202"/>
      <c r="I28" s="203"/>
      <c r="J28" s="203"/>
      <c r="K28" s="203"/>
      <c r="L28" s="203"/>
      <c r="M28" s="203"/>
      <c r="N28" s="234">
        <v>8</v>
      </c>
      <c r="O28" s="209" t="str">
        <f>CALCUL!EV12</f>
        <v xml:space="preserve"> Forces Terrestres et Navales</v>
      </c>
      <c r="P28" s="209">
        <f>CALCUL!EW12</f>
        <v>122</v>
      </c>
      <c r="Q28" s="209" t="str">
        <f>CALCUL!EQ12</f>
        <v xml:space="preserve"> Affaire Sociales</v>
      </c>
      <c r="R28" s="210">
        <f>CALCUL!ER12</f>
        <v>125</v>
      </c>
      <c r="S28" s="225" t="str">
        <f t="shared" si="1"/>
        <v/>
      </c>
      <c r="T28" s="239"/>
      <c r="U28" s="203"/>
      <c r="V28" s="203"/>
      <c r="W28" s="203"/>
      <c r="X28" s="203"/>
      <c r="Y28" s="206"/>
    </row>
    <row r="29" spans="1:25" s="205" customFormat="1" ht="15" x14ac:dyDescent="0.25">
      <c r="A29" s="199"/>
      <c r="B29" s="200"/>
      <c r="C29" s="201"/>
      <c r="D29" s="201"/>
      <c r="E29" s="201"/>
      <c r="F29" s="201"/>
      <c r="G29" s="201"/>
      <c r="H29" s="202"/>
      <c r="I29" s="203"/>
      <c r="J29" s="203"/>
      <c r="K29" s="203"/>
      <c r="L29" s="203"/>
      <c r="M29" s="203"/>
      <c r="N29" s="234">
        <v>9</v>
      </c>
      <c r="O29" s="209" t="str">
        <f>CALCUL!EV13</f>
        <v xml:space="preserve"> Assemblée</v>
      </c>
      <c r="P29" s="209">
        <f>CALCUL!EW13</f>
        <v>93</v>
      </c>
      <c r="Q29" s="209" t="str">
        <f>CALCUL!EQ13</f>
        <v xml:space="preserve"> Assemblée</v>
      </c>
      <c r="R29" s="210">
        <f>CALCUL!ER13</f>
        <v>93</v>
      </c>
      <c r="S29" s="225">
        <f t="shared" si="1"/>
        <v>0</v>
      </c>
      <c r="T29" s="239"/>
      <c r="U29" s="203"/>
      <c r="V29" s="203"/>
      <c r="W29" s="203"/>
      <c r="X29" s="203"/>
      <c r="Y29" s="206"/>
    </row>
    <row r="30" spans="1:25" s="205" customFormat="1" ht="15" x14ac:dyDescent="0.25">
      <c r="A30" s="199"/>
      <c r="B30" s="200"/>
      <c r="C30" s="201"/>
      <c r="D30" s="201"/>
      <c r="E30" s="201"/>
      <c r="F30" s="201"/>
      <c r="G30" s="201"/>
      <c r="H30" s="202"/>
      <c r="I30" s="203"/>
      <c r="J30" s="203"/>
      <c r="K30" s="203"/>
      <c r="L30" s="203"/>
      <c r="M30" s="203"/>
      <c r="N30" s="234">
        <v>10</v>
      </c>
      <c r="O30" s="209" t="str">
        <f>CALCUL!EV14</f>
        <v xml:space="preserve"> Habitat et Cadastre</v>
      </c>
      <c r="P30" s="209">
        <f>CALCUL!EW14</f>
        <v>76</v>
      </c>
      <c r="Q30" s="209" t="str">
        <f>CALCUL!EQ14</f>
        <v xml:space="preserve"> Habitat et Cadastre</v>
      </c>
      <c r="R30" s="210">
        <f>CALCUL!ER14</f>
        <v>76</v>
      </c>
      <c r="S30" s="225">
        <f t="shared" si="1"/>
        <v>0</v>
      </c>
      <c r="T30" s="239"/>
      <c r="U30" s="203"/>
      <c r="V30" s="203"/>
      <c r="W30" s="203"/>
      <c r="X30" s="203"/>
      <c r="Y30" s="206"/>
    </row>
    <row r="31" spans="1:25" s="205" customFormat="1" ht="15" x14ac:dyDescent="0.25">
      <c r="A31" s="199"/>
      <c r="B31" s="200"/>
      <c r="C31" s="201"/>
      <c r="D31" s="201"/>
      <c r="E31" s="201"/>
      <c r="F31" s="201"/>
      <c r="G31" s="201"/>
      <c r="H31" s="202"/>
      <c r="I31" s="203"/>
      <c r="J31" s="203"/>
      <c r="K31" s="203"/>
      <c r="L31" s="203"/>
      <c r="M31" s="203"/>
      <c r="N31" s="234"/>
      <c r="P31"/>
      <c r="Q31"/>
      <c r="R31"/>
      <c r="S31"/>
      <c r="T31" s="241"/>
      <c r="U31" s="203"/>
      <c r="V31" s="203"/>
      <c r="W31" s="203"/>
      <c r="X31" s="203"/>
      <c r="Y31" s="206"/>
    </row>
    <row r="32" spans="1:25" s="205" customFormat="1" ht="15" x14ac:dyDescent="0.25">
      <c r="A32" s="199"/>
      <c r="B32" s="200"/>
      <c r="C32" s="201"/>
      <c r="D32" s="201"/>
      <c r="E32" s="201"/>
      <c r="F32" s="201"/>
      <c r="G32" s="201"/>
      <c r="H32" s="202"/>
      <c r="I32" s="203"/>
      <c r="J32" s="203"/>
      <c r="K32" s="203"/>
      <c r="L32" s="203"/>
      <c r="M32" s="203"/>
      <c r="N32" s="234"/>
      <c r="T32" s="239"/>
      <c r="U32" s="203"/>
      <c r="V32" s="203"/>
      <c r="W32" s="203"/>
      <c r="X32" s="203"/>
      <c r="Y32" s="206"/>
    </row>
    <row r="33" spans="1:25" s="205" customFormat="1" ht="15" x14ac:dyDescent="0.25">
      <c r="A33" s="199"/>
      <c r="B33" s="200"/>
      <c r="C33" s="201"/>
      <c r="D33" s="201"/>
      <c r="E33" s="201"/>
      <c r="F33" s="201"/>
      <c r="G33" s="201"/>
      <c r="H33" s="202"/>
      <c r="I33" s="203"/>
      <c r="J33" s="203"/>
      <c r="K33" s="203"/>
      <c r="L33" s="203"/>
      <c r="M33" s="203"/>
      <c r="N33" s="234"/>
      <c r="O33" s="291" t="s">
        <v>347</v>
      </c>
      <c r="P33" s="291"/>
      <c r="Q33" s="291"/>
      <c r="R33" s="291"/>
      <c r="S33" s="291"/>
      <c r="T33" s="239"/>
      <c r="U33" s="203"/>
      <c r="V33" s="203"/>
      <c r="W33" s="203"/>
      <c r="X33" s="203"/>
      <c r="Y33" s="206"/>
    </row>
    <row r="34" spans="1:25" s="205" customFormat="1" ht="30" x14ac:dyDescent="0.25">
      <c r="A34" s="199"/>
      <c r="B34" s="200"/>
      <c r="C34" s="201"/>
      <c r="D34" s="201"/>
      <c r="E34" s="201"/>
      <c r="F34" s="201"/>
      <c r="G34" s="201"/>
      <c r="H34" s="202"/>
      <c r="I34" s="203"/>
      <c r="J34" s="203"/>
      <c r="K34" s="203"/>
      <c r="L34" s="203"/>
      <c r="M34" s="203"/>
      <c r="N34" s="234"/>
      <c r="O34" s="244" t="s">
        <v>283</v>
      </c>
      <c r="P34" s="246" t="s">
        <v>276</v>
      </c>
      <c r="Q34" s="255" t="s">
        <v>283</v>
      </c>
      <c r="R34" s="256" t="s">
        <v>284</v>
      </c>
      <c r="S34" s="236" t="s">
        <v>346</v>
      </c>
      <c r="T34" s="239"/>
      <c r="U34" s="203"/>
      <c r="V34" s="203"/>
      <c r="W34" s="203"/>
      <c r="X34" s="203"/>
      <c r="Y34" s="206"/>
    </row>
    <row r="35" spans="1:25" s="205" customFormat="1" ht="15" x14ac:dyDescent="0.25">
      <c r="A35" s="199"/>
      <c r="B35" s="200"/>
      <c r="C35" s="201"/>
      <c r="D35" s="201"/>
      <c r="E35" s="201"/>
      <c r="F35" s="201"/>
      <c r="G35" s="201"/>
      <c r="H35" s="202"/>
      <c r="I35" s="203"/>
      <c r="J35" s="203"/>
      <c r="K35" s="203"/>
      <c r="L35" s="203"/>
      <c r="M35" s="203"/>
      <c r="N35" s="234">
        <v>1</v>
      </c>
      <c r="O35" s="209" t="str">
        <f>CALCUL!IP4</f>
        <v>Education   Nationale 1</v>
      </c>
      <c r="P35" s="209">
        <f>CALCUL!IQ4</f>
        <v>1686</v>
      </c>
      <c r="Q35" s="209" t="str">
        <f>CALCUL!IM4</f>
        <v>Education   Nationale 1</v>
      </c>
      <c r="R35" s="210">
        <f>CALCUL!IN4</f>
        <v>1686</v>
      </c>
      <c r="S35" s="225">
        <f>IF(Q35=O35,(R35-P35)/P35,"")</f>
        <v>0</v>
      </c>
      <c r="T35" s="239"/>
      <c r="U35" s="203"/>
      <c r="V35" s="203"/>
      <c r="W35" s="203"/>
      <c r="X35" s="203"/>
      <c r="Y35" s="206"/>
    </row>
    <row r="36" spans="1:25" s="205" customFormat="1" ht="15" x14ac:dyDescent="0.25">
      <c r="A36" s="199"/>
      <c r="B36" s="200"/>
      <c r="C36" s="201"/>
      <c r="D36" s="201"/>
      <c r="E36" s="201"/>
      <c r="F36" s="201"/>
      <c r="G36" s="201"/>
      <c r="H36" s="202"/>
      <c r="I36" s="203"/>
      <c r="J36" s="203"/>
      <c r="K36" s="203"/>
      <c r="L36" s="203"/>
      <c r="M36" s="203"/>
      <c r="N36" s="234">
        <v>2</v>
      </c>
      <c r="O36" s="209" t="str">
        <f>CALCUL!IM5</f>
        <v>BDC 184.</v>
      </c>
      <c r="P36" s="209">
        <f>CALCUL!IQ5</f>
        <v>434</v>
      </c>
      <c r="Q36" s="209" t="str">
        <f>CALCUL!IM5</f>
        <v>BDC 184.</v>
      </c>
      <c r="R36" s="210">
        <f>CALCUL!IN5</f>
        <v>434</v>
      </c>
      <c r="S36" s="225">
        <f t="shared" ref="S36:S44" si="2">IF(Q36=O36,(R36-P36)/P36,"")</f>
        <v>0</v>
      </c>
      <c r="T36" s="239"/>
      <c r="U36" s="203"/>
      <c r="V36" s="203"/>
      <c r="W36" s="203"/>
      <c r="X36" s="203"/>
      <c r="Y36" s="206"/>
    </row>
    <row r="37" spans="1:25" s="205" customFormat="1" ht="15" x14ac:dyDescent="0.25">
      <c r="A37" s="199"/>
      <c r="B37" s="200"/>
      <c r="C37" s="201"/>
      <c r="D37" s="201"/>
      <c r="E37" s="201"/>
      <c r="F37" s="201"/>
      <c r="G37" s="201"/>
      <c r="H37" s="202"/>
      <c r="I37" s="203"/>
      <c r="J37" s="203"/>
      <c r="K37" s="203"/>
      <c r="L37" s="203"/>
      <c r="M37" s="203"/>
      <c r="N37" s="234">
        <v>3</v>
      </c>
      <c r="O37" s="209" t="str">
        <f>CALCUL!IP6</f>
        <v>Santé Publique.</v>
      </c>
      <c r="P37" s="209">
        <f>CALCUL!IQ6</f>
        <v>323</v>
      </c>
      <c r="Q37" s="209" t="str">
        <f>CALCUL!IM6</f>
        <v>Santé Publique.</v>
      </c>
      <c r="R37" s="213">
        <f>CALCUL!IN6</f>
        <v>323</v>
      </c>
      <c r="S37" s="225">
        <f t="shared" si="2"/>
        <v>0</v>
      </c>
      <c r="T37" s="239"/>
      <c r="U37" s="203"/>
      <c r="V37" s="203"/>
      <c r="W37" s="203"/>
      <c r="X37" s="203"/>
      <c r="Y37" s="206"/>
    </row>
    <row r="38" spans="1:25" s="205" customFormat="1" ht="15" x14ac:dyDescent="0.25">
      <c r="A38" s="199"/>
      <c r="B38" s="249"/>
      <c r="C38" s="247" t="s">
        <v>277</v>
      </c>
      <c r="D38" s="253" t="s">
        <v>278</v>
      </c>
      <c r="E38" s="228" t="s">
        <v>279</v>
      </c>
      <c r="F38" s="292" t="s">
        <v>280</v>
      </c>
      <c r="G38" s="292"/>
      <c r="H38" s="202"/>
      <c r="I38" s="203"/>
      <c r="J38" s="203"/>
      <c r="K38" s="203"/>
      <c r="L38" s="203"/>
      <c r="M38" s="203"/>
      <c r="N38" s="234">
        <v>4</v>
      </c>
      <c r="O38" s="209" t="str">
        <f>CALCUL!IP7</f>
        <v>Coopération   Cubaine bdc 188</v>
      </c>
      <c r="P38" s="209">
        <f>CALCUL!IQ7</f>
        <v>125</v>
      </c>
      <c r="Q38" s="209" t="str">
        <f>CALCUL!IM7</f>
        <v>Coopération   Cubaine bdc 188</v>
      </c>
      <c r="R38" s="213">
        <f>CALCUL!IN7</f>
        <v>125</v>
      </c>
      <c r="S38" s="225">
        <f t="shared" si="2"/>
        <v>0</v>
      </c>
      <c r="T38" s="239"/>
      <c r="U38" s="203"/>
      <c r="V38" s="203"/>
      <c r="W38" s="203"/>
      <c r="X38" s="203"/>
      <c r="Y38" s="206"/>
    </row>
    <row r="39" spans="1:25" s="205" customFormat="1" ht="15" x14ac:dyDescent="0.25">
      <c r="A39" s="199"/>
      <c r="B39" s="214" t="s">
        <v>285</v>
      </c>
      <c r="C39" s="208">
        <f>GETPIVOTDATA(" Total LOT 1",CALCUL!$T$2)</f>
        <v>911</v>
      </c>
      <c r="D39" s="208">
        <f>GETPIVOTDATA(" Total LOT 1",CALCUL!$G$2)</f>
        <v>911</v>
      </c>
      <c r="E39" s="228">
        <f t="shared" ref="E39:E44" si="3">(D39-C39)</f>
        <v>0</v>
      </c>
      <c r="F39" s="290">
        <f t="shared" ref="F39:F44" si="4">IFERROR(E39/C39,"")</f>
        <v>0</v>
      </c>
      <c r="G39" s="290"/>
      <c r="H39" s="202"/>
      <c r="I39" s="203"/>
      <c r="J39" s="203"/>
      <c r="K39" s="203"/>
      <c r="L39" s="203"/>
      <c r="M39" s="203"/>
      <c r="N39" s="234">
        <v>5</v>
      </c>
      <c r="O39" s="209" t="str">
        <f>CALCUL!IP8</f>
        <v>Enseignement Supérieur.</v>
      </c>
      <c r="P39" s="209">
        <f>CALCUL!IQ8</f>
        <v>82</v>
      </c>
      <c r="Q39" s="209" t="str">
        <f>CALCUL!IM8</f>
        <v>DG Budget</v>
      </c>
      <c r="R39" s="210">
        <f>CALCUL!IN8</f>
        <v>61</v>
      </c>
      <c r="S39" s="225" t="str">
        <f t="shared" si="2"/>
        <v/>
      </c>
      <c r="T39" s="239"/>
      <c r="U39" s="203"/>
      <c r="V39" s="203"/>
      <c r="W39" s="203"/>
      <c r="X39" s="203"/>
      <c r="Y39" s="206"/>
    </row>
    <row r="40" spans="1:25" s="205" customFormat="1" ht="15" x14ac:dyDescent="0.25">
      <c r="A40" s="199"/>
      <c r="B40" s="214" t="s">
        <v>286</v>
      </c>
      <c r="C40" s="208">
        <f>GETPIVOTDATA(" Total BDC LOT 2",CALCUL!$T$2)</f>
        <v>374</v>
      </c>
      <c r="D40" s="208">
        <f>GETPIVOTDATA(" Total BDC LOT 2",CALCUL!$G$2)</f>
        <v>374</v>
      </c>
      <c r="E40" s="228">
        <f t="shared" si="3"/>
        <v>0</v>
      </c>
      <c r="F40" s="290">
        <f t="shared" si="4"/>
        <v>0</v>
      </c>
      <c r="G40" s="290"/>
      <c r="H40" s="202"/>
      <c r="I40" s="203"/>
      <c r="J40" s="203"/>
      <c r="K40" s="203"/>
      <c r="L40" s="203"/>
      <c r="M40" s="203"/>
      <c r="N40" s="234">
        <v>6</v>
      </c>
      <c r="O40" s="209" t="str">
        <f>CALCUL!IP9</f>
        <v>DG Budget</v>
      </c>
      <c r="P40" s="209">
        <f>CALCUL!IQ9</f>
        <v>61</v>
      </c>
      <c r="Q40" s="209" t="str">
        <f>CALCUL!IM9</f>
        <v>Enseignement Supérieur.</v>
      </c>
      <c r="R40" s="210">
        <f>CALCUL!IN9</f>
        <v>82</v>
      </c>
      <c r="S40" s="225" t="str">
        <f t="shared" si="2"/>
        <v/>
      </c>
      <c r="T40" s="239"/>
      <c r="U40" s="203"/>
      <c r="V40" s="203"/>
      <c r="W40" s="203"/>
      <c r="X40" s="203"/>
      <c r="Y40" s="206"/>
    </row>
    <row r="41" spans="1:25" s="205" customFormat="1" ht="15" x14ac:dyDescent="0.25">
      <c r="A41" s="199"/>
      <c r="B41" s="214" t="s">
        <v>287</v>
      </c>
      <c r="C41" s="208">
        <f>GETPIVOTDATA(" Total LOT 3",CALCUL!$T$2)</f>
        <v>595</v>
      </c>
      <c r="D41" s="208">
        <f>GETPIVOTDATA(" Total LOT 3",CALCUL!$G$2)</f>
        <v>595</v>
      </c>
      <c r="E41" s="228">
        <f t="shared" si="3"/>
        <v>0</v>
      </c>
      <c r="F41" s="290">
        <f t="shared" si="4"/>
        <v>0</v>
      </c>
      <c r="G41" s="290"/>
      <c r="H41" s="202"/>
      <c r="I41" s="250"/>
      <c r="J41" s="247" t="s">
        <v>277</v>
      </c>
      <c r="K41" s="253" t="s">
        <v>278</v>
      </c>
      <c r="L41" s="228" t="s">
        <v>279</v>
      </c>
      <c r="M41" s="228" t="s">
        <v>280</v>
      </c>
      <c r="N41" s="234">
        <v>7</v>
      </c>
      <c r="O41" s="209" t="str">
        <f>CALCUL!IP10</f>
        <v>Recherche Scientifique.</v>
      </c>
      <c r="P41" s="209">
        <f>CALCUL!IQ10</f>
        <v>48</v>
      </c>
      <c r="Q41" s="209" t="str">
        <f>CALCUL!IM10</f>
        <v>Recherche Scientifique.</v>
      </c>
      <c r="R41" s="210">
        <f>CALCUL!IN10</f>
        <v>48</v>
      </c>
      <c r="S41" s="225">
        <f t="shared" si="2"/>
        <v>0</v>
      </c>
      <c r="T41" s="239"/>
      <c r="U41" s="251" t="s">
        <v>288</v>
      </c>
      <c r="V41" s="252" t="s">
        <v>277</v>
      </c>
      <c r="W41" s="253" t="s">
        <v>278</v>
      </c>
      <c r="X41" s="342" t="s">
        <v>279</v>
      </c>
      <c r="Y41" s="343" t="s">
        <v>280</v>
      </c>
    </row>
    <row r="42" spans="1:25" s="205" customFormat="1" ht="15" x14ac:dyDescent="0.25">
      <c r="A42" s="199"/>
      <c r="B42" s="214" t="s">
        <v>289</v>
      </c>
      <c r="C42" s="208">
        <f>GETPIVOTDATA(" Total LOT 4",CALCUL!$T$2)</f>
        <v>986</v>
      </c>
      <c r="D42" s="208">
        <f>GETPIVOTDATA(" Total LOT 4",CALCUL!$G$2)</f>
        <v>986</v>
      </c>
      <c r="E42" s="228">
        <f t="shared" si="3"/>
        <v>0</v>
      </c>
      <c r="F42" s="290">
        <f t="shared" si="4"/>
        <v>0</v>
      </c>
      <c r="G42" s="290"/>
      <c r="H42" s="202"/>
      <c r="I42" s="211" t="s">
        <v>136</v>
      </c>
      <c r="J42" s="212">
        <f>GETPIVOTDATA(" BDC 191",CALCUL!$AQ$2)</f>
        <v>144</v>
      </c>
      <c r="K42" s="212">
        <f>GETPIVOTDATA(" BDC 191",CALCUL!$AL$2)</f>
        <v>144</v>
      </c>
      <c r="L42" s="226">
        <f>(K42-J42)</f>
        <v>0</v>
      </c>
      <c r="M42" s="229">
        <f>IFERROR(L42/J42,"")</f>
        <v>0</v>
      </c>
      <c r="N42" s="234">
        <v>8</v>
      </c>
      <c r="O42" s="209" t="str">
        <f>CALCUL!IP11</f>
        <v>Tresor</v>
      </c>
      <c r="P42" s="209">
        <f>CALCUL!IQ11</f>
        <v>13</v>
      </c>
      <c r="Q42" s="209" t="str">
        <f>CALCUL!IM11</f>
        <v>Tresor</v>
      </c>
      <c r="R42" s="210">
        <f>CALCUL!IN11</f>
        <v>13</v>
      </c>
      <c r="S42" s="225">
        <f t="shared" si="2"/>
        <v>0</v>
      </c>
      <c r="T42" s="239"/>
      <c r="U42" s="215" t="s">
        <v>290</v>
      </c>
      <c r="V42" s="216">
        <f>GETPIVOTDATA(" MONTANT MASSE TOTAL",CALCUL!$O$2)</f>
        <v>103439461036</v>
      </c>
      <c r="W42" s="216">
        <f>GETPIVOTDATA(" MONTANT MASSE TOTAL",CALCUL!$B$2)</f>
        <v>103439461036</v>
      </c>
      <c r="X42" s="344" t="str">
        <f>IF((W42-V42 = 0), "no increasing","increasing")</f>
        <v>no increasing</v>
      </c>
      <c r="Y42" s="345">
        <f>+((W42-V42)/V42)*100</f>
        <v>0</v>
      </c>
    </row>
    <row r="43" spans="1:25" s="205" customFormat="1" ht="15" x14ac:dyDescent="0.25">
      <c r="A43" s="199"/>
      <c r="B43" s="214" t="s">
        <v>291</v>
      </c>
      <c r="C43" s="208">
        <f>GETPIVOTDATA(" Total BDC SPE. LOT 5",CALCUL!$T$2)</f>
        <v>1166</v>
      </c>
      <c r="D43" s="208">
        <f>GETPIVOTDATA(" Total BDC SPE. LOT 5",CALCUL!$G$2)</f>
        <v>1166</v>
      </c>
      <c r="E43" s="228">
        <f t="shared" si="3"/>
        <v>0</v>
      </c>
      <c r="F43" s="290">
        <f t="shared" si="4"/>
        <v>0</v>
      </c>
      <c r="G43" s="290"/>
      <c r="H43" s="202"/>
      <c r="I43" s="211" t="s">
        <v>292</v>
      </c>
      <c r="J43" s="212">
        <f>GETPIVOTDATA(" BDC 191 régul",CALCUL!$AQ$2)</f>
        <v>0</v>
      </c>
      <c r="K43" s="212">
        <f>GETPIVOTDATA(" BDC 191 régul",CALCUL!$AL$2)</f>
        <v>0</v>
      </c>
      <c r="L43" s="226">
        <f>(K43-J43)</f>
        <v>0</v>
      </c>
      <c r="M43" s="229" t="str">
        <f>IFERROR(L43/J43,"")</f>
        <v/>
      </c>
      <c r="N43" s="234">
        <v>9</v>
      </c>
      <c r="O43" s="209" t="str">
        <f>CALCUL!IP12</f>
        <v>Eaux et Energie</v>
      </c>
      <c r="P43" s="209">
        <f>CALCUL!IQ12</f>
        <v>12</v>
      </c>
      <c r="Q43" s="209" t="str">
        <f>CALCUL!IM12</f>
        <v>Eaux et Energie</v>
      </c>
      <c r="R43" s="210">
        <f>CALCUL!IN12</f>
        <v>12</v>
      </c>
      <c r="S43" s="225">
        <f t="shared" si="2"/>
        <v>0</v>
      </c>
      <c r="T43" s="239"/>
      <c r="U43" s="215" t="s">
        <v>293</v>
      </c>
      <c r="V43" s="216">
        <f>GETPIVOTDATA(" MONTANT PERMANENT",CALCUL!$O$2)</f>
        <v>101463371036</v>
      </c>
      <c r="W43" s="216">
        <f>GETPIVOTDATA(" MONTANT PERMANENT",CALCUL!$B$2)</f>
        <v>101463371036</v>
      </c>
      <c r="X43" s="344" t="str">
        <f t="shared" ref="X43:X44" si="5">IF((W43-V43 = 0), "no increasing","increasing")</f>
        <v>no increasing</v>
      </c>
      <c r="Y43" s="345">
        <f t="shared" ref="Y43:Y44" si="6">+((W43-V43)/V43)*100</f>
        <v>0</v>
      </c>
    </row>
    <row r="44" spans="1:25" s="205" customFormat="1" ht="15.75" thickBot="1" x14ac:dyDescent="0.3">
      <c r="A44" s="217"/>
      <c r="B44" s="214" t="s">
        <v>294</v>
      </c>
      <c r="C44" s="208">
        <f>GETPIVOTDATA(" Total PRES. LOT 6",CALCUL!$T$2)</f>
        <v>2830</v>
      </c>
      <c r="D44" s="208">
        <f>GETPIVOTDATA(" Total PRES. LOT 6",CALCUL!$G$2)</f>
        <v>2830</v>
      </c>
      <c r="E44" s="228">
        <f t="shared" si="3"/>
        <v>0</v>
      </c>
      <c r="F44" s="290">
        <f t="shared" si="4"/>
        <v>0</v>
      </c>
      <c r="G44" s="290"/>
      <c r="H44" s="218"/>
      <c r="I44" s="219" t="s">
        <v>295</v>
      </c>
      <c r="J44" s="220">
        <f>GETPIVOTDATA(" BDC 191 non régul.",CALCUL!$AQ$2)</f>
        <v>144</v>
      </c>
      <c r="K44" s="220">
        <f>GETPIVOTDATA(" BDC 191 non régul.",CALCUL!$AL$2)</f>
        <v>144</v>
      </c>
      <c r="L44" s="230">
        <f>(K44-J44)</f>
        <v>0</v>
      </c>
      <c r="M44" s="229">
        <f>IFERROR(L44/J44,"")</f>
        <v>0</v>
      </c>
      <c r="N44" s="235">
        <v>10</v>
      </c>
      <c r="O44" s="209" t="str">
        <f>CALCUL!IP13</f>
        <v>Jeunesse et Sports.</v>
      </c>
      <c r="P44" s="209">
        <f>CALCUL!IQ13</f>
        <v>6</v>
      </c>
      <c r="Q44" s="209" t="str">
        <f>CALCUL!IM13</f>
        <v>DGCC</v>
      </c>
      <c r="R44" s="210">
        <f>CALCUL!IN13</f>
        <v>5</v>
      </c>
      <c r="S44" s="225" t="str">
        <f t="shared" si="2"/>
        <v/>
      </c>
      <c r="T44" s="240"/>
      <c r="U44" s="221" t="s">
        <v>296</v>
      </c>
      <c r="V44" s="222">
        <f>GETPIVOTDATA(" MONTANT PRESALAIRE",CALCUL!$O$2)</f>
        <v>1976090000</v>
      </c>
      <c r="W44" s="222">
        <f>GETPIVOTDATA(" MONTANT PRESALAIRE",CALCUL!$B$2)</f>
        <v>1976090000</v>
      </c>
      <c r="X44" s="344" t="str">
        <f t="shared" si="5"/>
        <v>no increasing</v>
      </c>
      <c r="Y44" s="345">
        <f t="shared" si="6"/>
        <v>0</v>
      </c>
    </row>
    <row r="45" spans="1:25" s="205" customFormat="1" ht="15" x14ac:dyDescent="0.25">
      <c r="B45" s="223"/>
      <c r="C45" s="224"/>
      <c r="D45" s="224"/>
      <c r="E45" s="224"/>
      <c r="F45" s="224"/>
      <c r="G45" s="224"/>
      <c r="T45" s="241"/>
    </row>
    <row r="46" spans="1:25" s="205" customFormat="1" ht="15" x14ac:dyDescent="0.25">
      <c r="B46" s="223"/>
      <c r="C46" s="224"/>
      <c r="D46" s="224"/>
      <c r="E46" s="224"/>
      <c r="F46" s="224"/>
      <c r="G46" s="224"/>
      <c r="T46" s="241"/>
    </row>
    <row r="47" spans="1:25" s="205" customFormat="1" ht="15" x14ac:dyDescent="0.25">
      <c r="B47" s="223"/>
      <c r="C47" s="224"/>
      <c r="D47" s="224"/>
      <c r="E47" s="224"/>
      <c r="F47" s="224"/>
      <c r="G47" s="224"/>
      <c r="T47" s="241"/>
    </row>
    <row r="48" spans="1:25" s="205" customFormat="1" ht="15" x14ac:dyDescent="0.25">
      <c r="B48" s="223"/>
      <c r="C48" s="224"/>
      <c r="D48" s="224"/>
      <c r="E48" s="224"/>
      <c r="F48" s="224"/>
      <c r="G48" s="224"/>
      <c r="T48" s="241"/>
    </row>
    <row r="49" spans="2:20" s="205" customFormat="1" ht="15" x14ac:dyDescent="0.25">
      <c r="B49" s="223"/>
      <c r="C49" s="224"/>
      <c r="D49" s="224"/>
      <c r="E49" s="224"/>
      <c r="F49" s="224"/>
      <c r="G49" s="224"/>
      <c r="T49" s="241"/>
    </row>
    <row r="50" spans="2:20" s="205" customFormat="1" ht="15" x14ac:dyDescent="0.25">
      <c r="B50" s="223"/>
      <c r="C50" s="224"/>
      <c r="D50" s="224"/>
      <c r="E50" s="224"/>
      <c r="F50" s="224"/>
      <c r="G50" s="224"/>
      <c r="T50" s="241"/>
    </row>
    <row r="51" spans="2:20" s="205" customFormat="1" ht="15" x14ac:dyDescent="0.25">
      <c r="B51" s="223"/>
      <c r="C51" s="224"/>
      <c r="D51" s="224"/>
      <c r="E51" s="224"/>
      <c r="F51" s="224"/>
      <c r="G51" s="224"/>
      <c r="T51" s="241"/>
    </row>
    <row r="52" spans="2:20" s="205" customFormat="1" ht="15" x14ac:dyDescent="0.25">
      <c r="B52" s="223"/>
      <c r="C52" s="224"/>
      <c r="D52" s="224"/>
      <c r="E52" s="224"/>
      <c r="F52" s="224"/>
      <c r="G52" s="224"/>
      <c r="T52" s="241"/>
    </row>
    <row r="53" spans="2:20" s="205" customFormat="1" ht="15" x14ac:dyDescent="0.25">
      <c r="B53" s="223"/>
      <c r="C53" s="224"/>
      <c r="D53" s="224"/>
      <c r="E53" s="224"/>
      <c r="F53" s="224"/>
      <c r="G53" s="224"/>
      <c r="T53" s="241"/>
    </row>
    <row r="54" spans="2:20" s="205" customFormat="1" ht="15" x14ac:dyDescent="0.25">
      <c r="B54" s="223"/>
      <c r="C54" s="224"/>
      <c r="D54" s="224"/>
      <c r="E54" s="224"/>
      <c r="F54" s="224"/>
      <c r="G54" s="224"/>
      <c r="T54" s="241"/>
    </row>
    <row r="55" spans="2:20" s="205" customFormat="1" ht="15" x14ac:dyDescent="0.25">
      <c r="B55" s="223"/>
      <c r="C55" s="224"/>
      <c r="D55" s="224"/>
      <c r="E55" s="224"/>
      <c r="F55" s="224"/>
      <c r="G55" s="224"/>
      <c r="T55" s="241"/>
    </row>
    <row r="56" spans="2:20" s="205" customFormat="1" ht="15" x14ac:dyDescent="0.25">
      <c r="B56" s="223"/>
      <c r="C56" s="224"/>
      <c r="D56" s="224"/>
      <c r="E56" s="224"/>
      <c r="F56" s="224"/>
      <c r="G56" s="224"/>
      <c r="T56" s="241"/>
    </row>
    <row r="57" spans="2:20" s="205" customFormat="1" ht="15" x14ac:dyDescent="0.25">
      <c r="B57" s="223"/>
      <c r="C57" s="224"/>
      <c r="D57" s="224"/>
      <c r="E57" s="224"/>
      <c r="F57" s="224"/>
      <c r="G57" s="224"/>
      <c r="T57" s="241"/>
    </row>
    <row r="58" spans="2:20" s="205" customFormat="1" ht="15" x14ac:dyDescent="0.25">
      <c r="B58" s="223"/>
      <c r="C58" s="224"/>
      <c r="D58" s="224"/>
      <c r="E58" s="224"/>
      <c r="F58" s="224"/>
      <c r="G58" s="224"/>
      <c r="T58" s="241"/>
    </row>
  </sheetData>
  <mergeCells count="11">
    <mergeCell ref="U3:Y5"/>
    <mergeCell ref="C6:G6"/>
    <mergeCell ref="F43:G43"/>
    <mergeCell ref="F44:G44"/>
    <mergeCell ref="O33:S33"/>
    <mergeCell ref="O19:S19"/>
    <mergeCell ref="F38:G38"/>
    <mergeCell ref="F39:G39"/>
    <mergeCell ref="F40:G40"/>
    <mergeCell ref="F41:G41"/>
    <mergeCell ref="F42:G42"/>
  </mergeCells>
  <pageMargins left="0.7" right="0.7" top="0.75" bottom="0.75" header="0.3" footer="0.3"/>
  <pageSetup paperSize="9" orientation="portrait" r:id="rId1"/>
  <ignoredErrors>
    <ignoredError sqref="P36" formula="1"/>
  </ignoredErrors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A1D0-7D58-4417-9931-2390B4A28EC3}">
  <sheetPr codeName="Feuil9">
    <tabColor rgb="FFFF0000"/>
  </sheetPr>
  <dimension ref="A1:I7"/>
  <sheetViews>
    <sheetView showGridLines="0" workbookViewId="0">
      <selection activeCell="C35" sqref="C35"/>
    </sheetView>
  </sheetViews>
  <sheetFormatPr baseColWidth="10" defaultColWidth="15.7109375" defaultRowHeight="15" x14ac:dyDescent="0.25"/>
  <cols>
    <col min="1" max="1" width="19.7109375" bestFit="1" customWidth="1"/>
    <col min="2" max="2" width="19.140625" customWidth="1"/>
    <col min="3" max="3" width="28.140625" customWidth="1"/>
    <col min="4" max="4" width="23.7109375" customWidth="1"/>
    <col min="5" max="5" width="15.7109375" customWidth="1"/>
    <col min="6" max="6" width="38.28515625" customWidth="1"/>
    <col min="8" max="8" width="20.140625" customWidth="1"/>
  </cols>
  <sheetData>
    <row r="1" spans="1:9" ht="33" customHeight="1" x14ac:dyDescent="0.25">
      <c r="A1" s="293" t="s">
        <v>297</v>
      </c>
      <c r="B1" s="293"/>
      <c r="C1" s="293"/>
      <c r="D1" s="293"/>
      <c r="E1" s="19"/>
      <c r="F1" s="19"/>
    </row>
    <row r="2" spans="1:9" ht="5.25" customHeight="1" thickBot="1" x14ac:dyDescent="0.3"/>
    <row r="3" spans="1:9" ht="33" customHeight="1" thickBot="1" x14ac:dyDescent="0.3">
      <c r="A3" s="148">
        <f ca="1">TODAY()</f>
        <v>43622</v>
      </c>
      <c r="B3" s="296"/>
      <c r="C3" s="296"/>
      <c r="H3" s="294" t="s">
        <v>298</v>
      </c>
      <c r="I3" s="295"/>
    </row>
    <row r="4" spans="1:9" ht="24" thickBot="1" x14ac:dyDescent="0.3">
      <c r="A4" s="141"/>
      <c r="B4" s="23"/>
      <c r="C4" s="24" t="str">
        <f ca="1">TEXT(A3,"mmmm")&amp;" "&amp; YEAR(A3)</f>
        <v>juin 2019</v>
      </c>
      <c r="H4" s="21" t="s">
        <v>299</v>
      </c>
      <c r="I4" s="20">
        <v>2</v>
      </c>
    </row>
    <row r="5" spans="1:9" ht="27.75" customHeight="1" x14ac:dyDescent="0.25"/>
    <row r="6" spans="1:9" ht="27.75" customHeight="1" x14ac:dyDescent="0.25">
      <c r="A6" s="27" t="s">
        <v>300</v>
      </c>
      <c r="B6" s="26" t="s">
        <v>301</v>
      </c>
      <c r="C6" s="25" t="s">
        <v>302</v>
      </c>
      <c r="D6" s="25" t="s">
        <v>303</v>
      </c>
    </row>
    <row r="7" spans="1:9" ht="30" customHeight="1" x14ac:dyDescent="0.25">
      <c r="A7" s="27" t="s">
        <v>304</v>
      </c>
      <c r="B7" s="18"/>
      <c r="C7" s="18"/>
      <c r="D7" s="18">
        <f>SUM(B7:C7)</f>
        <v>0</v>
      </c>
    </row>
  </sheetData>
  <mergeCells count="3">
    <mergeCell ref="A1:D1"/>
    <mergeCell ref="H3:I3"/>
    <mergeCell ref="B3:C3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5A57F-21AB-4CAD-B0F3-A0FC8A4A8261}">
  <sheetPr codeName="Feuil13"/>
  <dimension ref="A1:DI3"/>
  <sheetViews>
    <sheetView topLeftCell="CP1" workbookViewId="0">
      <selection activeCell="C35" sqref="C35"/>
    </sheetView>
  </sheetViews>
  <sheetFormatPr baseColWidth="10" defaultColWidth="11.42578125" defaultRowHeight="15" x14ac:dyDescent="0.25"/>
  <cols>
    <col min="1" max="1" width="15" style="147" bestFit="1" customWidth="1"/>
    <col min="2" max="2" width="30" customWidth="1"/>
    <col min="3" max="3" width="29.140625" customWidth="1"/>
    <col min="4" max="4" width="31" customWidth="1"/>
    <col min="5" max="5" width="12.28515625" style="145" bestFit="1" customWidth="1"/>
    <col min="6" max="6" width="21" bestFit="1" customWidth="1"/>
    <col min="7" max="7" width="32.5703125" bestFit="1" customWidth="1"/>
    <col min="8" max="8" width="31.7109375" bestFit="1" customWidth="1"/>
    <col min="9" max="9" width="33.42578125" bestFit="1" customWidth="1"/>
    <col min="17" max="17" width="11.42578125" style="145"/>
    <col min="35" max="35" width="14.85546875" bestFit="1" customWidth="1"/>
    <col min="36" max="36" width="11.42578125" style="145"/>
    <col min="47" max="47" width="11.42578125" style="145"/>
    <col min="59" max="59" width="15" style="164" bestFit="1" customWidth="1"/>
    <col min="60" max="60" width="11.42578125" style="145"/>
    <col min="75" max="75" width="25.5703125" bestFit="1" customWidth="1"/>
    <col min="76" max="76" width="11.42578125" style="145"/>
    <col min="105" max="105" width="21.7109375" bestFit="1" customWidth="1"/>
    <col min="112" max="112" width="26" style="145" bestFit="1" customWidth="1"/>
    <col min="113" max="113" width="24.42578125" style="145" bestFit="1" customWidth="1"/>
  </cols>
  <sheetData>
    <row r="1" spans="1:113" ht="37.5" customHeight="1" x14ac:dyDescent="0.25">
      <c r="A1" s="146" t="s">
        <v>71</v>
      </c>
      <c r="B1" s="138" t="s">
        <v>72</v>
      </c>
      <c r="C1" s="138" t="s">
        <v>73</v>
      </c>
      <c r="D1" s="138" t="s">
        <v>74</v>
      </c>
      <c r="E1" s="153" t="s">
        <v>75</v>
      </c>
      <c r="F1" s="154" t="s">
        <v>23</v>
      </c>
      <c r="G1" s="154" t="s">
        <v>76</v>
      </c>
      <c r="H1" s="155" t="s">
        <v>77</v>
      </c>
      <c r="I1" s="155" t="s">
        <v>78</v>
      </c>
      <c r="J1" s="154" t="s">
        <v>79</v>
      </c>
      <c r="K1" s="154" t="s">
        <v>27</v>
      </c>
      <c r="L1" s="154" t="s">
        <v>28</v>
      </c>
      <c r="M1" s="154" t="s">
        <v>29</v>
      </c>
      <c r="N1" s="154" t="s">
        <v>58</v>
      </c>
      <c r="O1" s="154" t="s">
        <v>31</v>
      </c>
      <c r="P1" s="156" t="s">
        <v>80</v>
      </c>
      <c r="Q1" s="153" t="s">
        <v>81</v>
      </c>
      <c r="R1" s="151" t="s">
        <v>2</v>
      </c>
      <c r="S1" s="151" t="s">
        <v>82</v>
      </c>
      <c r="T1" s="151" t="s">
        <v>4</v>
      </c>
      <c r="U1" s="151" t="s">
        <v>5</v>
      </c>
      <c r="V1" s="151" t="s">
        <v>6</v>
      </c>
      <c r="W1" s="157" t="s">
        <v>83</v>
      </c>
      <c r="X1" s="158" t="s">
        <v>8</v>
      </c>
      <c r="Y1" s="151" t="s">
        <v>9</v>
      </c>
      <c r="Z1" s="152" t="s">
        <v>11</v>
      </c>
      <c r="AA1" s="152" t="s">
        <v>12</v>
      </c>
      <c r="AB1" s="152" t="s">
        <v>84</v>
      </c>
      <c r="AC1" s="152" t="s">
        <v>14</v>
      </c>
      <c r="AD1" s="152" t="s">
        <v>15</v>
      </c>
      <c r="AE1" s="151" t="s">
        <v>16</v>
      </c>
      <c r="AF1" s="152" t="s">
        <v>17</v>
      </c>
      <c r="AG1" s="152" t="s">
        <v>18</v>
      </c>
      <c r="AH1" s="152" t="s">
        <v>85</v>
      </c>
      <c r="AI1" s="138" t="s">
        <v>86</v>
      </c>
      <c r="AJ1" s="160" t="s">
        <v>87</v>
      </c>
      <c r="AK1" s="155" t="s">
        <v>88</v>
      </c>
      <c r="AL1" s="154" t="s">
        <v>33</v>
      </c>
      <c r="AM1" s="155" t="s">
        <v>34</v>
      </c>
      <c r="AN1" s="155" t="s">
        <v>35</v>
      </c>
      <c r="AO1" s="155" t="s">
        <v>89</v>
      </c>
      <c r="AP1" s="155" t="s">
        <v>90</v>
      </c>
      <c r="AQ1" s="154" t="s">
        <v>91</v>
      </c>
      <c r="AR1" s="155" t="s">
        <v>92</v>
      </c>
      <c r="AS1" s="155" t="s">
        <v>93</v>
      </c>
      <c r="AT1" s="156" t="s">
        <v>94</v>
      </c>
      <c r="AU1" s="153" t="s">
        <v>95</v>
      </c>
      <c r="AV1" s="152" t="s">
        <v>42</v>
      </c>
      <c r="AW1" s="152" t="s">
        <v>43</v>
      </c>
      <c r="AX1" s="152" t="s">
        <v>44</v>
      </c>
      <c r="AY1" s="152" t="s">
        <v>45</v>
      </c>
      <c r="AZ1" s="152" t="s">
        <v>46</v>
      </c>
      <c r="BA1" s="151" t="s">
        <v>47</v>
      </c>
      <c r="BB1" s="152" t="s">
        <v>49</v>
      </c>
      <c r="BC1" s="151" t="s">
        <v>50</v>
      </c>
      <c r="BD1" s="151" t="s">
        <v>51</v>
      </c>
      <c r="BE1" s="151" t="s">
        <v>96</v>
      </c>
      <c r="BF1" s="151" t="s">
        <v>53</v>
      </c>
      <c r="BG1" s="163" t="s">
        <v>97</v>
      </c>
      <c r="BH1" s="160" t="s">
        <v>98</v>
      </c>
      <c r="BI1" s="155" t="s">
        <v>54</v>
      </c>
      <c r="BJ1" s="155" t="s">
        <v>99</v>
      </c>
      <c r="BK1" s="155" t="s">
        <v>100</v>
      </c>
      <c r="BL1" s="155" t="s">
        <v>101</v>
      </c>
      <c r="BM1" s="155" t="s">
        <v>102</v>
      </c>
      <c r="BN1" s="155" t="s">
        <v>103</v>
      </c>
      <c r="BO1" s="155" t="s">
        <v>104</v>
      </c>
      <c r="BP1" s="155" t="s">
        <v>105</v>
      </c>
      <c r="BQ1" s="155" t="s">
        <v>106</v>
      </c>
      <c r="BR1" s="155" t="s">
        <v>107</v>
      </c>
      <c r="BS1" s="155" t="s">
        <v>108</v>
      </c>
      <c r="BT1" s="155" t="s">
        <v>109</v>
      </c>
      <c r="BU1" s="155" t="s">
        <v>110</v>
      </c>
      <c r="BV1" s="155" t="s">
        <v>111</v>
      </c>
      <c r="BW1" s="156" t="s">
        <v>112</v>
      </c>
      <c r="BX1" s="159" t="s">
        <v>113</v>
      </c>
      <c r="BY1" s="152" t="s">
        <v>114</v>
      </c>
      <c r="BZ1" s="152" t="s">
        <v>115</v>
      </c>
      <c r="CA1" s="152" t="s">
        <v>116</v>
      </c>
      <c r="CB1" s="152" t="s">
        <v>117</v>
      </c>
      <c r="CC1" s="152" t="s">
        <v>118</v>
      </c>
      <c r="CD1" s="152" t="s">
        <v>119</v>
      </c>
      <c r="CE1" s="152" t="s">
        <v>120</v>
      </c>
      <c r="CF1" s="152" t="s">
        <v>121</v>
      </c>
      <c r="CG1" s="152" t="s">
        <v>122</v>
      </c>
      <c r="CH1" s="152" t="s">
        <v>123</v>
      </c>
      <c r="CI1" s="152" t="s">
        <v>59</v>
      </c>
      <c r="CJ1" s="152" t="s">
        <v>60</v>
      </c>
      <c r="CK1" s="152" t="s">
        <v>124</v>
      </c>
      <c r="CL1" s="152" t="s">
        <v>61</v>
      </c>
      <c r="CM1" s="152" t="s">
        <v>62</v>
      </c>
      <c r="CN1" s="152" t="s">
        <v>63</v>
      </c>
      <c r="CO1" s="152" t="s">
        <v>64</v>
      </c>
      <c r="CP1" s="152" t="s">
        <v>125</v>
      </c>
      <c r="CQ1" s="152" t="s">
        <v>65</v>
      </c>
      <c r="CR1" s="152" t="s">
        <v>66</v>
      </c>
      <c r="CS1" s="152" t="s">
        <v>67</v>
      </c>
      <c r="CT1" s="152" t="s">
        <v>68</v>
      </c>
      <c r="CU1" s="152" t="s">
        <v>126</v>
      </c>
      <c r="CV1" s="152" t="s">
        <v>127</v>
      </c>
      <c r="CW1" s="152" t="s">
        <v>128</v>
      </c>
      <c r="CX1" s="152" t="s">
        <v>129</v>
      </c>
      <c r="CY1" s="152" t="s">
        <v>130</v>
      </c>
      <c r="CZ1" s="152" t="s">
        <v>131</v>
      </c>
      <c r="DA1" s="138" t="s">
        <v>132</v>
      </c>
      <c r="DB1" s="138" t="s">
        <v>133</v>
      </c>
      <c r="DC1" s="138" t="s">
        <v>134</v>
      </c>
      <c r="DD1" s="138" t="s">
        <v>135</v>
      </c>
      <c r="DE1" s="138" t="s">
        <v>136</v>
      </c>
      <c r="DF1" s="138" t="s">
        <v>137</v>
      </c>
      <c r="DG1" s="138" t="s">
        <v>138</v>
      </c>
      <c r="DH1" s="153" t="s">
        <v>139</v>
      </c>
      <c r="DI1" s="153" t="s">
        <v>140</v>
      </c>
    </row>
    <row r="2" spans="1:113" x14ac:dyDescent="0.25">
      <c r="A2" s="147">
        <v>43585</v>
      </c>
      <c r="B2">
        <v>50728442338</v>
      </c>
      <c r="C2">
        <v>986970000</v>
      </c>
      <c r="D2">
        <v>51715412338</v>
      </c>
      <c r="E2" s="145">
        <v>43585</v>
      </c>
      <c r="F2">
        <v>83</v>
      </c>
      <c r="G2">
        <v>1</v>
      </c>
      <c r="H2">
        <v>16</v>
      </c>
      <c r="I2">
        <v>15</v>
      </c>
      <c r="J2">
        <v>36</v>
      </c>
      <c r="K2">
        <v>1</v>
      </c>
      <c r="L2">
        <v>8</v>
      </c>
      <c r="M2">
        <v>11</v>
      </c>
      <c r="N2">
        <v>5</v>
      </c>
      <c r="O2">
        <v>7</v>
      </c>
      <c r="P2" s="140">
        <f>SUM(T_HISTORIQUE_MASSE[[#This Row],[Justice]:[Agriculture]])</f>
        <v>183</v>
      </c>
      <c r="Q2" s="145">
        <v>43585</v>
      </c>
      <c r="R2">
        <v>0</v>
      </c>
      <c r="S2">
        <v>47</v>
      </c>
      <c r="T2">
        <v>1</v>
      </c>
      <c r="U2">
        <v>28</v>
      </c>
      <c r="V2">
        <v>2</v>
      </c>
      <c r="W2">
        <v>1</v>
      </c>
      <c r="X2">
        <v>0</v>
      </c>
      <c r="Y2">
        <v>2</v>
      </c>
      <c r="Z2">
        <v>117</v>
      </c>
      <c r="AA2">
        <v>10</v>
      </c>
      <c r="AB2">
        <v>138</v>
      </c>
      <c r="AC2">
        <v>56</v>
      </c>
      <c r="AD2">
        <v>9</v>
      </c>
      <c r="AE2">
        <v>6</v>
      </c>
      <c r="AF2">
        <v>19</v>
      </c>
      <c r="AG2">
        <v>4</v>
      </c>
      <c r="AH2">
        <v>0</v>
      </c>
      <c r="AI2" s="140">
        <f>SUM(T_HISTORIQUE_MASSE[[#This Row],[Présidence]:[Cour Constitutionnelle]])</f>
        <v>440</v>
      </c>
      <c r="AJ2" s="145">
        <v>43585</v>
      </c>
      <c r="AK2">
        <v>256</v>
      </c>
      <c r="AL2">
        <v>0</v>
      </c>
      <c r="AM2">
        <v>0</v>
      </c>
      <c r="AN2">
        <v>1</v>
      </c>
      <c r="AO2">
        <v>1</v>
      </c>
      <c r="AP2">
        <v>38</v>
      </c>
      <c r="AQ2">
        <v>0</v>
      </c>
      <c r="AR2">
        <v>2</v>
      </c>
      <c r="AS2">
        <v>0</v>
      </c>
      <c r="AT2" s="140">
        <f>SUM(T_HISTORIQUE_MASSE[[#This Row],[Hauts Fonctionnaires]:[Marine Marchande]])</f>
        <v>298</v>
      </c>
      <c r="AU2" s="145">
        <v>43585</v>
      </c>
      <c r="AV2">
        <v>235</v>
      </c>
      <c r="AW2">
        <v>0</v>
      </c>
      <c r="AX2">
        <v>1</v>
      </c>
      <c r="AY2">
        <v>2</v>
      </c>
      <c r="AZ2">
        <v>30</v>
      </c>
      <c r="BA2">
        <v>1</v>
      </c>
      <c r="BB2">
        <v>8</v>
      </c>
      <c r="BC2">
        <v>126</v>
      </c>
      <c r="BD2">
        <v>3</v>
      </c>
      <c r="BE2">
        <v>62</v>
      </c>
      <c r="BF2">
        <v>0</v>
      </c>
      <c r="BG2" s="164">
        <f>SUM(T_HISTORIQUE_MASSE[[#This Row],[Education Nationale 1]:[Stages]])</f>
        <v>468</v>
      </c>
      <c r="BH2" s="145">
        <v>43585</v>
      </c>
      <c r="BI2">
        <v>0</v>
      </c>
      <c r="BJ2">
        <v>0</v>
      </c>
      <c r="BK2">
        <v>2</v>
      </c>
      <c r="BM2">
        <v>2</v>
      </c>
      <c r="BN2">
        <v>0</v>
      </c>
      <c r="BO2">
        <v>252</v>
      </c>
      <c r="BQ2">
        <v>26</v>
      </c>
      <c r="BR2">
        <v>10</v>
      </c>
      <c r="BS2">
        <v>4</v>
      </c>
      <c r="BT2">
        <v>291</v>
      </c>
      <c r="BU2">
        <v>3</v>
      </c>
      <c r="BV2">
        <v>0</v>
      </c>
      <c r="BW2" s="140">
        <f>SUM(T_HISTORIQUE_MASSE[[#This Row],[Bons de caisse 101]:[199]])</f>
        <v>590</v>
      </c>
      <c r="BX2" s="145">
        <v>43585</v>
      </c>
      <c r="BY2">
        <v>781</v>
      </c>
      <c r="BZ2">
        <v>0</v>
      </c>
      <c r="CA2">
        <v>0</v>
      </c>
      <c r="CB2">
        <v>0</v>
      </c>
      <c r="CC2">
        <v>3</v>
      </c>
      <c r="CD2">
        <v>42</v>
      </c>
      <c r="CE2">
        <v>162</v>
      </c>
      <c r="CF2">
        <v>2</v>
      </c>
      <c r="CG2">
        <v>24</v>
      </c>
      <c r="CH2">
        <v>0</v>
      </c>
      <c r="CI2">
        <v>6</v>
      </c>
      <c r="CJ2">
        <v>0</v>
      </c>
      <c r="CK2">
        <v>0</v>
      </c>
      <c r="CL2">
        <v>0</v>
      </c>
      <c r="CM2">
        <v>2</v>
      </c>
      <c r="CO2">
        <v>0</v>
      </c>
      <c r="CP2">
        <v>5</v>
      </c>
      <c r="CQ2">
        <v>2</v>
      </c>
      <c r="CR2">
        <v>11</v>
      </c>
      <c r="CS2">
        <v>1</v>
      </c>
      <c r="CT2">
        <v>2</v>
      </c>
      <c r="CU2">
        <v>63</v>
      </c>
      <c r="CV2">
        <v>2</v>
      </c>
      <c r="CW2">
        <v>217</v>
      </c>
      <c r="CX2">
        <v>5</v>
      </c>
      <c r="CY2">
        <v>2</v>
      </c>
      <c r="CZ2">
        <v>0</v>
      </c>
      <c r="DA2" s="140">
        <f>SUM(T_HISTORIQUE_MASSE[[#This Row],[Education   Nationale 1]:[193.]])</f>
        <v>1332</v>
      </c>
      <c r="DB2">
        <v>284</v>
      </c>
      <c r="DD2" s="140">
        <f>T_HISTORIQUE_MASSE[[#This Row],[BDC 187]]-T_HISTORIQUE_MASSE[[#This Row],[BDC 187 régul.]]</f>
        <v>284</v>
      </c>
      <c r="DE2">
        <v>78</v>
      </c>
      <c r="DG2" s="140">
        <f>T_HISTORIQUE_MASSE[[#This Row],[BDC 191]]-T_HISTORIQUE_MASSE[[#This Row],[BDC 191 régul]]</f>
        <v>78</v>
      </c>
      <c r="DH2" s="145">
        <v>43585</v>
      </c>
      <c r="DI2" s="145">
        <v>43585</v>
      </c>
    </row>
    <row r="3" spans="1:113" ht="24" customHeight="1" x14ac:dyDescent="0.25">
      <c r="A3" s="147">
        <v>43616</v>
      </c>
      <c r="B3">
        <v>50734928698</v>
      </c>
      <c r="C3">
        <v>989120000</v>
      </c>
      <c r="D3">
        <v>51724048698</v>
      </c>
      <c r="E3" s="145">
        <v>43616</v>
      </c>
      <c r="F3">
        <v>87</v>
      </c>
      <c r="G3">
        <v>4</v>
      </c>
      <c r="H3">
        <v>17</v>
      </c>
      <c r="I3">
        <v>16</v>
      </c>
      <c r="J3">
        <v>36</v>
      </c>
      <c r="K3">
        <v>1</v>
      </c>
      <c r="L3">
        <v>9</v>
      </c>
      <c r="M3">
        <v>9</v>
      </c>
      <c r="N3">
        <v>5</v>
      </c>
      <c r="O3">
        <v>7</v>
      </c>
      <c r="P3" s="140">
        <f>SUM(T_HISTORIQUE_MASSE[[#This Row],[Justice]:[Agriculture]])</f>
        <v>191</v>
      </c>
      <c r="Q3" s="145">
        <v>43616</v>
      </c>
      <c r="R3">
        <v>1</v>
      </c>
      <c r="S3">
        <v>46</v>
      </c>
      <c r="T3">
        <v>1</v>
      </c>
      <c r="U3">
        <v>28</v>
      </c>
      <c r="V3">
        <v>2</v>
      </c>
      <c r="W3">
        <v>1</v>
      </c>
      <c r="X3">
        <v>0</v>
      </c>
      <c r="Y3">
        <v>2</v>
      </c>
      <c r="Z3">
        <v>125</v>
      </c>
      <c r="AA3">
        <v>14</v>
      </c>
      <c r="AB3">
        <v>140</v>
      </c>
      <c r="AC3">
        <v>66</v>
      </c>
      <c r="AD3">
        <v>15</v>
      </c>
      <c r="AE3">
        <v>6</v>
      </c>
      <c r="AF3">
        <v>20</v>
      </c>
      <c r="AG3">
        <v>4</v>
      </c>
      <c r="AH3">
        <v>0</v>
      </c>
      <c r="AI3" s="140">
        <f>SUM(T_HISTORIQUE_MASSE[[#This Row],[Présidence]:[Cour Constitutionnelle]])</f>
        <v>471</v>
      </c>
      <c r="AJ3" s="145">
        <v>43616</v>
      </c>
      <c r="AK3">
        <v>251</v>
      </c>
      <c r="AL3">
        <v>2</v>
      </c>
      <c r="AM3">
        <v>2</v>
      </c>
      <c r="AN3">
        <v>1</v>
      </c>
      <c r="AO3">
        <v>1</v>
      </c>
      <c r="AP3">
        <v>38</v>
      </c>
      <c r="AQ3">
        <v>0</v>
      </c>
      <c r="AR3">
        <v>2</v>
      </c>
      <c r="AS3">
        <v>0</v>
      </c>
      <c r="AT3" s="140">
        <f>SUM(T_HISTORIQUE_MASSE[[#This Row],[Hauts Fonctionnaires]:[Marine Marchande]])</f>
        <v>297</v>
      </c>
      <c r="AU3" s="145">
        <v>43616</v>
      </c>
      <c r="AV3">
        <v>281</v>
      </c>
      <c r="AW3">
        <v>0</v>
      </c>
      <c r="AX3">
        <v>1</v>
      </c>
      <c r="AY3">
        <v>2</v>
      </c>
      <c r="AZ3">
        <v>31</v>
      </c>
      <c r="BA3">
        <v>1</v>
      </c>
      <c r="BB3">
        <v>8</v>
      </c>
      <c r="BC3">
        <v>128</v>
      </c>
      <c r="BD3">
        <v>3</v>
      </c>
      <c r="BE3">
        <v>63</v>
      </c>
      <c r="BF3">
        <v>0</v>
      </c>
      <c r="BG3" s="164">
        <f>SUM(T_HISTORIQUE_MASSE[[#This Row],[Education Nationale 1]:[Stages]])</f>
        <v>518</v>
      </c>
      <c r="BH3" s="145">
        <v>43616</v>
      </c>
      <c r="BI3">
        <v>0</v>
      </c>
      <c r="BJ3">
        <v>0</v>
      </c>
      <c r="BK3">
        <v>3</v>
      </c>
      <c r="BM3">
        <v>2</v>
      </c>
      <c r="BN3">
        <v>0</v>
      </c>
      <c r="BO3">
        <v>241</v>
      </c>
      <c r="BQ3">
        <v>21</v>
      </c>
      <c r="BR3">
        <v>17</v>
      </c>
      <c r="BS3">
        <v>3</v>
      </c>
      <c r="BT3">
        <v>287</v>
      </c>
      <c r="BU3">
        <v>0</v>
      </c>
      <c r="BV3">
        <v>2</v>
      </c>
      <c r="BW3" s="140">
        <f>SUM(T_HISTORIQUE_MASSE[[#This Row],[Bons de caisse 101]:[199]])</f>
        <v>576</v>
      </c>
      <c r="BX3" s="145">
        <v>43616</v>
      </c>
      <c r="BY3">
        <v>905</v>
      </c>
      <c r="BZ3">
        <v>0</v>
      </c>
      <c r="CA3">
        <v>0</v>
      </c>
      <c r="CB3">
        <v>0</v>
      </c>
      <c r="CC3">
        <v>3</v>
      </c>
      <c r="CD3">
        <v>40</v>
      </c>
      <c r="CE3">
        <v>161</v>
      </c>
      <c r="CF3">
        <v>2</v>
      </c>
      <c r="CG3">
        <v>24</v>
      </c>
      <c r="CH3">
        <v>0</v>
      </c>
      <c r="CI3">
        <v>6</v>
      </c>
      <c r="CJ3">
        <v>0</v>
      </c>
      <c r="CK3">
        <v>0</v>
      </c>
      <c r="CL3">
        <v>1</v>
      </c>
      <c r="CM3">
        <v>11</v>
      </c>
      <c r="CO3">
        <v>5</v>
      </c>
      <c r="CP3">
        <v>0</v>
      </c>
      <c r="CQ3">
        <v>0</v>
      </c>
      <c r="CR3">
        <v>50</v>
      </c>
      <c r="CS3">
        <v>0</v>
      </c>
      <c r="CT3">
        <v>2</v>
      </c>
      <c r="CU3">
        <v>62</v>
      </c>
      <c r="CV3">
        <v>2</v>
      </c>
      <c r="CW3">
        <v>217</v>
      </c>
      <c r="CX3">
        <v>6</v>
      </c>
      <c r="CY3">
        <v>0</v>
      </c>
      <c r="CZ3">
        <v>1</v>
      </c>
      <c r="DA3" s="140">
        <f>SUM(T_HISTORIQUE_MASSE[[#This Row],[Education   Nationale 1]:[193.]])</f>
        <v>1498</v>
      </c>
      <c r="DB3">
        <v>280</v>
      </c>
      <c r="DD3" s="140">
        <f>T_HISTORIQUE_MASSE[[#This Row],[BDC 187]]-T_HISTORIQUE_MASSE[[#This Row],[BDC 187 régul.]]</f>
        <v>280</v>
      </c>
      <c r="DE3">
        <v>66</v>
      </c>
      <c r="DG3" s="140">
        <f>T_HISTORIQUE_MASSE[[#This Row],[BDC 191]]-T_HISTORIQUE_MASSE[[#This Row],[BDC 191 régul]]</f>
        <v>66</v>
      </c>
      <c r="DH3" s="145">
        <v>43615</v>
      </c>
      <c r="DI3" s="145">
        <v>43615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47CF9-C2A9-4F8D-B360-DF1E5C5C2E4B}">
  <sheetPr codeName="Feuil1">
    <tabColor rgb="FF0070C0"/>
    <pageSetUpPr fitToPage="1"/>
  </sheetPr>
  <dimension ref="A1:L61"/>
  <sheetViews>
    <sheetView showGridLines="0" zoomScaleNormal="100" workbookViewId="0"/>
  </sheetViews>
  <sheetFormatPr baseColWidth="10" defaultColWidth="11.42578125" defaultRowHeight="12.75" x14ac:dyDescent="0.2"/>
  <cols>
    <col min="1" max="1" width="5.5703125" style="29" customWidth="1"/>
    <col min="2" max="2" width="27" style="29" customWidth="1"/>
    <col min="3" max="3" width="7.7109375" style="29" bestFit="1" customWidth="1"/>
    <col min="4" max="4" width="26.28515625" style="29" customWidth="1"/>
    <col min="5" max="5" width="24.85546875" style="29" customWidth="1"/>
    <col min="6" max="6" width="15.5703125" style="29" customWidth="1"/>
    <col min="7" max="7" width="15.5703125" style="29" bestFit="1" customWidth="1"/>
    <col min="8" max="8" width="9.140625" style="29" customWidth="1"/>
    <col min="9" max="9" width="9.85546875" style="29" bestFit="1" customWidth="1"/>
    <col min="10" max="10" width="11.42578125" style="29"/>
    <col min="11" max="11" width="21.140625" style="29" customWidth="1"/>
    <col min="12" max="16384" width="11.42578125" style="29"/>
  </cols>
  <sheetData>
    <row r="1" spans="2:12" x14ac:dyDescent="0.2">
      <c r="B1" s="28"/>
      <c r="C1" s="28"/>
    </row>
    <row r="2" spans="2:12" ht="6.75" customHeight="1" x14ac:dyDescent="0.2">
      <c r="B2" s="30"/>
      <c r="C2" s="30"/>
    </row>
    <row r="3" spans="2:12" x14ac:dyDescent="0.2">
      <c r="B3" s="28"/>
      <c r="C3" s="28"/>
    </row>
    <row r="4" spans="2:12" ht="7.5" customHeight="1" thickBot="1" x14ac:dyDescent="0.25">
      <c r="B4" s="30"/>
      <c r="C4" s="30"/>
    </row>
    <row r="5" spans="2:12" ht="30.75" customHeight="1" x14ac:dyDescent="0.2">
      <c r="B5" s="31"/>
      <c r="C5" s="31"/>
      <c r="K5" s="298" t="s">
        <v>298</v>
      </c>
      <c r="L5" s="299"/>
    </row>
    <row r="6" spans="2:12" ht="7.5" customHeight="1" thickBot="1" x14ac:dyDescent="0.25">
      <c r="B6" s="30"/>
      <c r="C6" s="30"/>
      <c r="K6" s="190"/>
      <c r="L6" s="191"/>
    </row>
    <row r="7" spans="2:12" ht="16.5" thickBot="1" x14ac:dyDescent="0.3">
      <c r="B7" s="28"/>
      <c r="C7" s="28"/>
      <c r="K7" s="192" t="s">
        <v>305</v>
      </c>
      <c r="L7" s="32">
        <v>2</v>
      </c>
    </row>
    <row r="8" spans="2:12" ht="6.75" customHeight="1" x14ac:dyDescent="0.2">
      <c r="B8" s="30"/>
      <c r="C8" s="30"/>
    </row>
    <row r="9" spans="2:12" x14ac:dyDescent="0.2">
      <c r="B9" s="28"/>
      <c r="C9" s="28"/>
    </row>
    <row r="10" spans="2:12" ht="8.25" customHeight="1" x14ac:dyDescent="0.2">
      <c r="B10" s="30"/>
      <c r="C10" s="30"/>
    </row>
    <row r="11" spans="2:12" ht="23.25" customHeight="1" x14ac:dyDescent="0.2">
      <c r="B11" s="28"/>
      <c r="C11" s="28"/>
      <c r="E11" s="28"/>
    </row>
    <row r="12" spans="2:12" ht="23.25" customHeight="1" x14ac:dyDescent="0.2">
      <c r="E12" s="28"/>
    </row>
    <row r="13" spans="2:12" ht="28.5" x14ac:dyDescent="0.2">
      <c r="D13" s="65"/>
      <c r="E13" s="66" t="s">
        <v>306</v>
      </c>
      <c r="F13" s="65"/>
    </row>
    <row r="14" spans="2:12" ht="28.5" x14ac:dyDescent="0.25">
      <c r="B14" s="33"/>
      <c r="C14" s="33"/>
      <c r="D14" s="67"/>
      <c r="E14" s="68" t="str">
        <f ca="1">TEXT(D16,"mmmm")&amp;" "&amp; YEAR(D16)</f>
        <v>juin 2019</v>
      </c>
      <c r="F14" s="67"/>
      <c r="G14" s="34"/>
      <c r="H14" s="35"/>
      <c r="I14" s="35"/>
      <c r="J14" s="35"/>
      <c r="K14" s="33"/>
      <c r="L14" s="33"/>
    </row>
    <row r="15" spans="2:12" ht="28.5" x14ac:dyDescent="0.45">
      <c r="B15" s="33"/>
      <c r="C15" s="33"/>
      <c r="D15" s="69"/>
      <c r="E15" s="70" t="s">
        <v>307</v>
      </c>
      <c r="F15" s="69"/>
      <c r="G15" s="36"/>
      <c r="H15" s="35"/>
      <c r="I15" s="35"/>
      <c r="J15" s="35"/>
      <c r="K15" s="33"/>
      <c r="L15" s="33"/>
    </row>
    <row r="16" spans="2:12" ht="15.75" x14ac:dyDescent="0.25">
      <c r="B16" s="33"/>
      <c r="C16" s="33"/>
      <c r="D16" s="193">
        <f ca="1">TODAY()</f>
        <v>43622</v>
      </c>
      <c r="E16" s="36"/>
      <c r="F16" s="36"/>
      <c r="G16" s="36"/>
      <c r="H16" s="35"/>
      <c r="I16" s="35"/>
      <c r="J16" s="35"/>
      <c r="K16" s="33"/>
      <c r="L16" s="33"/>
    </row>
    <row r="17" spans="1:12" ht="45" customHeight="1" thickBot="1" x14ac:dyDescent="0.3">
      <c r="A17" s="40" t="s">
        <v>308</v>
      </c>
      <c r="B17" s="41" t="s">
        <v>309</v>
      </c>
      <c r="C17" s="42" t="s">
        <v>231</v>
      </c>
      <c r="D17" s="43" t="s">
        <v>310</v>
      </c>
      <c r="E17" s="43" t="s">
        <v>311</v>
      </c>
      <c r="F17" s="194" t="s">
        <v>141</v>
      </c>
      <c r="G17" s="62" t="s">
        <v>312</v>
      </c>
      <c r="H17" s="62" t="s">
        <v>313</v>
      </c>
      <c r="I17" s="62" t="s">
        <v>314</v>
      </c>
      <c r="J17" s="33"/>
      <c r="K17" s="33"/>
      <c r="L17" s="33"/>
    </row>
    <row r="18" spans="1:12" ht="89.25" thickBot="1" x14ac:dyDescent="1.3">
      <c r="A18" s="44">
        <v>1</v>
      </c>
      <c r="B18" s="45" t="s">
        <v>2</v>
      </c>
      <c r="C18" s="46">
        <v>100</v>
      </c>
      <c r="D18" s="47"/>
      <c r="E18" s="48"/>
      <c r="F18" s="144"/>
      <c r="G18" s="72"/>
      <c r="H18" s="73"/>
      <c r="I18" s="74"/>
      <c r="J18" s="33"/>
      <c r="L18" s="33"/>
    </row>
    <row r="19" spans="1:12" ht="89.25" thickBot="1" x14ac:dyDescent="1.3">
      <c r="A19" s="44">
        <v>2</v>
      </c>
      <c r="B19" s="45" t="s">
        <v>82</v>
      </c>
      <c r="C19" s="46">
        <v>100</v>
      </c>
      <c r="D19" s="47"/>
      <c r="E19" s="48"/>
      <c r="F19" s="144"/>
      <c r="G19" s="72"/>
      <c r="H19" s="73"/>
      <c r="I19" s="74"/>
      <c r="J19" s="33"/>
      <c r="L19" s="33"/>
    </row>
    <row r="20" spans="1:12" ht="89.25" thickBot="1" x14ac:dyDescent="1.3">
      <c r="A20" s="44">
        <v>3</v>
      </c>
      <c r="B20" s="45" t="s">
        <v>4</v>
      </c>
      <c r="C20" s="46">
        <v>100</v>
      </c>
      <c r="D20" s="47"/>
      <c r="E20" s="48"/>
      <c r="F20" s="144"/>
      <c r="G20" s="72"/>
      <c r="H20" s="73"/>
      <c r="I20" s="74"/>
      <c r="J20" s="33"/>
      <c r="K20" s="39"/>
      <c r="L20" s="33"/>
    </row>
    <row r="21" spans="1:12" ht="89.25" thickBot="1" x14ac:dyDescent="1.3">
      <c r="A21" s="44">
        <v>4</v>
      </c>
      <c r="B21" s="45" t="s">
        <v>5</v>
      </c>
      <c r="C21" s="46">
        <v>100</v>
      </c>
      <c r="D21" s="47"/>
      <c r="E21" s="48"/>
      <c r="F21" s="144"/>
      <c r="G21" s="72"/>
      <c r="H21" s="73"/>
      <c r="I21" s="74"/>
      <c r="J21" s="33"/>
      <c r="K21" s="39"/>
      <c r="L21" s="33"/>
    </row>
    <row r="22" spans="1:12" ht="89.25" thickBot="1" x14ac:dyDescent="1.3">
      <c r="A22" s="44">
        <v>5</v>
      </c>
      <c r="B22" s="45" t="s">
        <v>6</v>
      </c>
      <c r="C22" s="46">
        <v>100</v>
      </c>
      <c r="D22" s="47"/>
      <c r="E22" s="48"/>
      <c r="F22" s="144"/>
      <c r="G22" s="72"/>
      <c r="H22" s="73"/>
      <c r="I22" s="74"/>
      <c r="J22" s="33"/>
      <c r="K22" s="39"/>
      <c r="L22" s="33"/>
    </row>
    <row r="23" spans="1:12" ht="89.25" thickBot="1" x14ac:dyDescent="1.3">
      <c r="A23" s="44">
        <v>6</v>
      </c>
      <c r="B23" s="49" t="s">
        <v>83</v>
      </c>
      <c r="C23" s="46">
        <v>100</v>
      </c>
      <c r="D23" s="47"/>
      <c r="E23" s="48"/>
      <c r="F23" s="144"/>
      <c r="G23" s="72"/>
      <c r="H23" s="73"/>
      <c r="I23" s="74"/>
      <c r="J23" s="33"/>
      <c r="K23" s="39"/>
      <c r="L23" s="33"/>
    </row>
    <row r="24" spans="1:12" ht="89.25" thickBot="1" x14ac:dyDescent="1.3">
      <c r="A24" s="44">
        <v>7</v>
      </c>
      <c r="B24" s="50" t="s">
        <v>8</v>
      </c>
      <c r="C24" s="46">
        <v>100</v>
      </c>
      <c r="D24" s="47"/>
      <c r="E24" s="48"/>
      <c r="F24" s="144"/>
      <c r="G24" s="72"/>
      <c r="H24" s="73"/>
      <c r="I24" s="74"/>
      <c r="J24" s="33"/>
      <c r="K24" s="39"/>
      <c r="L24" s="33"/>
    </row>
    <row r="25" spans="1:12" ht="89.25" thickBot="1" x14ac:dyDescent="1.3">
      <c r="A25" s="44">
        <v>8</v>
      </c>
      <c r="B25" s="45" t="s">
        <v>9</v>
      </c>
      <c r="C25" s="46">
        <v>100</v>
      </c>
      <c r="D25" s="47"/>
      <c r="E25" s="48"/>
      <c r="F25" s="144"/>
      <c r="G25" s="72"/>
      <c r="H25" s="73"/>
      <c r="I25" s="74"/>
      <c r="J25" s="33"/>
      <c r="K25" s="39"/>
      <c r="L25" s="33"/>
    </row>
    <row r="26" spans="1:12" ht="88.5" x14ac:dyDescent="1.25">
      <c r="A26" s="44">
        <v>10</v>
      </c>
      <c r="B26" s="99" t="s">
        <v>11</v>
      </c>
      <c r="C26" s="46">
        <v>100</v>
      </c>
      <c r="D26" s="47"/>
      <c r="E26" s="48"/>
      <c r="F26" s="144"/>
      <c r="G26" s="75"/>
      <c r="H26" s="76"/>
      <c r="I26" s="77"/>
      <c r="J26" s="33"/>
      <c r="K26" s="39"/>
      <c r="L26" s="33"/>
    </row>
    <row r="27" spans="1:12" ht="89.25" thickBot="1" x14ac:dyDescent="1.3">
      <c r="A27" s="52">
        <v>11</v>
      </c>
      <c r="B27" s="115" t="s">
        <v>12</v>
      </c>
      <c r="C27" s="53">
        <v>100</v>
      </c>
      <c r="D27" s="54"/>
      <c r="E27" s="55"/>
      <c r="F27" s="144"/>
      <c r="G27" s="78"/>
      <c r="H27" s="79"/>
      <c r="I27" s="80"/>
      <c r="J27" s="33"/>
      <c r="K27" s="39"/>
      <c r="L27" s="33"/>
    </row>
    <row r="28" spans="1:12" ht="89.25" thickBot="1" x14ac:dyDescent="1.3">
      <c r="A28" s="44">
        <v>12</v>
      </c>
      <c r="B28" s="56" t="s">
        <v>84</v>
      </c>
      <c r="C28" s="46">
        <v>100</v>
      </c>
      <c r="D28" s="47"/>
      <c r="E28" s="48"/>
      <c r="F28" s="144"/>
      <c r="G28" s="72"/>
      <c r="H28" s="73"/>
      <c r="I28" s="74"/>
      <c r="J28" s="33"/>
      <c r="K28" s="39"/>
      <c r="L28" s="33"/>
    </row>
    <row r="29" spans="1:12" ht="89.25" thickBot="1" x14ac:dyDescent="1.3">
      <c r="A29" s="44">
        <v>13</v>
      </c>
      <c r="B29" s="56" t="s">
        <v>14</v>
      </c>
      <c r="C29" s="46">
        <v>100</v>
      </c>
      <c r="D29" s="47"/>
      <c r="E29" s="48"/>
      <c r="F29" s="144"/>
      <c r="G29" s="72"/>
      <c r="H29" s="73"/>
      <c r="I29" s="74"/>
      <c r="J29" s="33"/>
      <c r="K29" s="33"/>
      <c r="L29" s="33"/>
    </row>
    <row r="30" spans="1:12" ht="89.25" thickBot="1" x14ac:dyDescent="1.3">
      <c r="A30" s="44">
        <v>14</v>
      </c>
      <c r="B30" s="56" t="s">
        <v>15</v>
      </c>
      <c r="C30" s="46">
        <v>100</v>
      </c>
      <c r="D30" s="47"/>
      <c r="E30" s="48"/>
      <c r="F30" s="144"/>
      <c r="G30" s="72"/>
      <c r="H30" s="73"/>
      <c r="I30" s="74"/>
      <c r="J30" s="33"/>
      <c r="K30" s="33"/>
      <c r="L30" s="33"/>
    </row>
    <row r="31" spans="1:12" ht="89.25" thickBot="1" x14ac:dyDescent="1.3">
      <c r="A31" s="44">
        <v>15</v>
      </c>
      <c r="B31" s="45" t="s">
        <v>16</v>
      </c>
      <c r="C31" s="46">
        <v>100</v>
      </c>
      <c r="D31" s="47"/>
      <c r="E31" s="48"/>
      <c r="F31" s="144"/>
      <c r="G31" s="72"/>
      <c r="H31" s="73"/>
      <c r="I31" s="74"/>
      <c r="J31" s="33"/>
      <c r="K31" s="33"/>
      <c r="L31" s="33"/>
    </row>
    <row r="32" spans="1:12" ht="89.25" thickBot="1" x14ac:dyDescent="1.3">
      <c r="A32" s="44">
        <v>16</v>
      </c>
      <c r="B32" s="56" t="s">
        <v>17</v>
      </c>
      <c r="C32" s="46">
        <v>100</v>
      </c>
      <c r="D32" s="47"/>
      <c r="E32" s="48"/>
      <c r="F32" s="144"/>
      <c r="G32" s="72"/>
      <c r="H32" s="73"/>
      <c r="I32" s="74"/>
      <c r="J32" s="33"/>
      <c r="K32" s="33"/>
      <c r="L32" s="33"/>
    </row>
    <row r="33" spans="1:12" ht="69" customHeight="1" x14ac:dyDescent="1.25">
      <c r="A33" s="142">
        <v>17</v>
      </c>
      <c r="B33" s="56" t="s">
        <v>18</v>
      </c>
      <c r="C33" s="57">
        <v>100</v>
      </c>
      <c r="D33" s="58"/>
      <c r="E33" s="59"/>
      <c r="F33" s="144"/>
      <c r="G33" s="72"/>
      <c r="H33" s="73"/>
      <c r="I33" s="74"/>
      <c r="J33" s="33"/>
      <c r="K33" s="33"/>
      <c r="L33" s="33"/>
    </row>
    <row r="34" spans="1:12" ht="68.25" customHeight="1" x14ac:dyDescent="1.25">
      <c r="A34" s="44">
        <v>18</v>
      </c>
      <c r="B34" s="60" t="s">
        <v>85</v>
      </c>
      <c r="C34" s="46">
        <v>100</v>
      </c>
      <c r="D34" s="61"/>
      <c r="E34" s="61"/>
      <c r="F34" s="144"/>
      <c r="G34" s="75"/>
      <c r="H34" s="76"/>
      <c r="I34" s="77"/>
      <c r="J34" s="33"/>
      <c r="K34" s="33"/>
      <c r="L34" s="33"/>
    </row>
    <row r="35" spans="1:12" ht="15.75" x14ac:dyDescent="0.25"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ht="19.5" thickBot="1" x14ac:dyDescent="0.35">
      <c r="B36" s="33"/>
      <c r="C36" s="33"/>
      <c r="D36" s="33"/>
      <c r="E36" s="312" t="s">
        <v>315</v>
      </c>
      <c r="F36" s="312"/>
      <c r="G36" s="312" t="s">
        <v>316</v>
      </c>
      <c r="H36" s="312"/>
      <c r="I36" s="312"/>
      <c r="J36" s="33"/>
      <c r="K36" s="33"/>
      <c r="L36" s="33"/>
    </row>
    <row r="37" spans="1:12" ht="15.75" x14ac:dyDescent="0.25">
      <c r="B37" s="33"/>
      <c r="C37" s="33"/>
      <c r="D37" s="297" t="s">
        <v>317</v>
      </c>
      <c r="E37" s="300" t="s">
        <v>318</v>
      </c>
      <c r="F37" s="301"/>
      <c r="G37" s="300"/>
      <c r="H37" s="304"/>
      <c r="I37" s="301"/>
      <c r="J37" s="33"/>
      <c r="K37" s="33"/>
      <c r="L37" s="33"/>
    </row>
    <row r="38" spans="1:12" ht="16.5" thickBot="1" x14ac:dyDescent="0.3">
      <c r="B38" s="33"/>
      <c r="C38" s="33"/>
      <c r="D38" s="297"/>
      <c r="E38" s="302"/>
      <c r="F38" s="303"/>
      <c r="G38" s="302"/>
      <c r="H38" s="305"/>
      <c r="I38" s="303"/>
      <c r="J38" s="33"/>
      <c r="K38" s="33"/>
      <c r="L38" s="33"/>
    </row>
    <row r="39" spans="1:12" ht="16.5" thickBot="1" x14ac:dyDescent="0.3"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ht="15.75" customHeight="1" x14ac:dyDescent="0.25">
      <c r="B40" s="33"/>
      <c r="C40" s="33"/>
      <c r="D40" s="297" t="s">
        <v>319</v>
      </c>
      <c r="E40" s="306" t="str">
        <f>IF(SUM(F18:F34)=0,"",SUM(F18:F34))</f>
        <v/>
      </c>
      <c r="F40" s="308"/>
      <c r="G40" s="306"/>
      <c r="H40" s="307"/>
      <c r="I40" s="308"/>
      <c r="J40" s="33"/>
      <c r="K40" s="33"/>
      <c r="L40" s="33"/>
    </row>
    <row r="41" spans="1:12" ht="16.5" customHeight="1" thickBot="1" x14ac:dyDescent="0.3">
      <c r="B41" s="33"/>
      <c r="C41" s="33"/>
      <c r="D41" s="297"/>
      <c r="E41" s="309"/>
      <c r="F41" s="311"/>
      <c r="G41" s="309"/>
      <c r="H41" s="310"/>
      <c r="I41" s="311"/>
      <c r="J41" s="33"/>
      <c r="K41" s="33"/>
      <c r="L41" s="33"/>
    </row>
    <row r="42" spans="1:12" ht="15.75" x14ac:dyDescent="0.25"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ht="15.75" x14ac:dyDescent="0.25"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ht="15.75" x14ac:dyDescent="0.25"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ht="15.75" x14ac:dyDescent="0.25"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ht="15.75" x14ac:dyDescent="0.25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ht="15.75" x14ac:dyDescent="0.25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ht="15.75" x14ac:dyDescent="0.25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2:12" ht="15.75" x14ac:dyDescent="0.25"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2:12" ht="15.75" x14ac:dyDescent="0.25"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2:12" ht="15.75" x14ac:dyDescent="0.25"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2:12" ht="15.75" x14ac:dyDescent="0.25"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2:12" ht="15.75" x14ac:dyDescent="0.25"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2:12" ht="15.75" x14ac:dyDescent="0.25"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2:12" ht="15.75" x14ac:dyDescent="0.25"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2:12" ht="15.75" x14ac:dyDescent="0.25"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2:12" ht="15.75" x14ac:dyDescent="0.25"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2:12" ht="15.75" x14ac:dyDescent="0.25"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2:12" ht="15.75" x14ac:dyDescent="0.25"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2:12" ht="15.75" x14ac:dyDescent="0.25"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2:12" ht="15.75" x14ac:dyDescent="0.25"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</sheetData>
  <mergeCells count="9">
    <mergeCell ref="D37:D38"/>
    <mergeCell ref="D40:D41"/>
    <mergeCell ref="K5:L5"/>
    <mergeCell ref="E37:F38"/>
    <mergeCell ref="G37:I38"/>
    <mergeCell ref="G40:I41"/>
    <mergeCell ref="E40:F41"/>
    <mergeCell ref="E36:F36"/>
    <mergeCell ref="G36:I36"/>
  </mergeCells>
  <pageMargins left="0.39370078740157483" right="0.59055118110236227" top="0" bottom="0.74803149606299213" header="0" footer="0.31496062992125984"/>
  <pageSetup paperSize="9" scale="65" fitToHeight="0" orientation="portrait" horizontalDpi="300" verticalDpi="300" r:id="rId1"/>
  <headerFooter scaleWithDoc="0" alignWithMargins="0">
    <oddFooter>&amp;L&amp;"Garamond,Normal"&amp;8DIRECTION DE LA SOLDE&amp;C&amp;12&amp;P/&amp;N&amp;R&amp;"Garamond,Normal"&amp;8SERVICE CONTROLE DE GESTION</oddFoot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44FF9-40BE-4756-9C55-844520E1F7E1}">
  <sheetPr codeName="Feuil3">
    <tabColor rgb="FF00B0F0"/>
    <pageSetUpPr fitToPage="1"/>
  </sheetPr>
  <dimension ref="A1:L52"/>
  <sheetViews>
    <sheetView showGridLines="0" workbookViewId="0"/>
  </sheetViews>
  <sheetFormatPr baseColWidth="10" defaultColWidth="11.42578125" defaultRowHeight="12.75" x14ac:dyDescent="0.2"/>
  <cols>
    <col min="1" max="1" width="5.5703125" style="81" customWidth="1"/>
    <col min="2" max="2" width="24.5703125" style="29" customWidth="1"/>
    <col min="3" max="3" width="7.7109375" style="81" bestFit="1" customWidth="1"/>
    <col min="4" max="4" width="29.28515625" style="29" customWidth="1"/>
    <col min="5" max="5" width="25.7109375" style="29" customWidth="1"/>
    <col min="6" max="6" width="15.5703125" style="29" customWidth="1"/>
    <col min="7" max="7" width="15.5703125" style="29" bestFit="1" customWidth="1"/>
    <col min="8" max="8" width="9.140625" style="29" customWidth="1"/>
    <col min="9" max="9" width="9" style="29" bestFit="1" customWidth="1"/>
    <col min="10" max="10" width="11.42578125" style="29"/>
    <col min="11" max="11" width="21.7109375" style="29" customWidth="1"/>
    <col min="12" max="16384" width="11.42578125" style="29"/>
  </cols>
  <sheetData>
    <row r="1" spans="2:12" x14ac:dyDescent="0.2">
      <c r="B1" s="28"/>
      <c r="C1" s="28"/>
    </row>
    <row r="2" spans="2:12" ht="6.75" customHeight="1" x14ac:dyDescent="0.2">
      <c r="B2" s="30"/>
      <c r="C2" s="30"/>
    </row>
    <row r="3" spans="2:12" x14ac:dyDescent="0.2">
      <c r="B3" s="28"/>
      <c r="C3" s="28"/>
    </row>
    <row r="4" spans="2:12" ht="7.5" customHeight="1" thickBot="1" x14ac:dyDescent="0.25">
      <c r="B4" s="30"/>
      <c r="C4" s="30"/>
    </row>
    <row r="5" spans="2:12" ht="30.75" customHeight="1" x14ac:dyDescent="0.2">
      <c r="B5" s="31"/>
      <c r="C5" s="31"/>
      <c r="K5" s="320" t="s">
        <v>298</v>
      </c>
      <c r="L5" s="321"/>
    </row>
    <row r="6" spans="2:12" ht="7.5" customHeight="1" thickBot="1" x14ac:dyDescent="0.25">
      <c r="B6" s="30"/>
      <c r="C6" s="30"/>
      <c r="K6" s="63"/>
      <c r="L6" s="64"/>
    </row>
    <row r="7" spans="2:12" ht="15.75" thickBot="1" x14ac:dyDescent="0.3">
      <c r="B7" s="28"/>
      <c r="C7" s="28"/>
      <c r="K7" s="93" t="s">
        <v>299</v>
      </c>
      <c r="L7" s="135">
        <v>2</v>
      </c>
    </row>
    <row r="8" spans="2:12" ht="6.75" customHeight="1" x14ac:dyDescent="0.2">
      <c r="B8" s="30"/>
      <c r="C8" s="30"/>
    </row>
    <row r="9" spans="2:12" x14ac:dyDescent="0.2">
      <c r="B9" s="28"/>
      <c r="C9" s="28"/>
    </row>
    <row r="10" spans="2:12" ht="8.25" customHeight="1" x14ac:dyDescent="0.2">
      <c r="B10" s="30"/>
      <c r="C10" s="30"/>
    </row>
    <row r="11" spans="2:12" ht="23.25" customHeight="1" x14ac:dyDescent="0.2">
      <c r="B11" s="28"/>
      <c r="C11" s="28"/>
      <c r="E11" s="28"/>
    </row>
    <row r="12" spans="2:12" ht="23.25" customHeight="1" x14ac:dyDescent="0.2">
      <c r="E12" s="28"/>
    </row>
    <row r="13" spans="2:12" ht="28.5" x14ac:dyDescent="0.2">
      <c r="D13" s="65"/>
      <c r="E13" s="66" t="s">
        <v>306</v>
      </c>
      <c r="F13" s="65"/>
    </row>
    <row r="14" spans="2:12" ht="28.5" x14ac:dyDescent="0.25">
      <c r="B14" s="33"/>
      <c r="C14" s="82"/>
      <c r="D14" s="67"/>
      <c r="E14" s="68" t="str">
        <f ca="1">TEXT(D16,"mmmm")&amp;" "&amp; YEAR(D16)</f>
        <v>juin 2019</v>
      </c>
      <c r="F14" s="67"/>
      <c r="G14" s="34"/>
      <c r="H14" s="35"/>
      <c r="I14" s="35"/>
      <c r="J14" s="35"/>
      <c r="K14" s="33"/>
      <c r="L14" s="33"/>
    </row>
    <row r="15" spans="2:12" ht="28.5" x14ac:dyDescent="0.45">
      <c r="B15" s="33"/>
      <c r="C15" s="82"/>
      <c r="D15" s="69"/>
      <c r="E15" s="70" t="s">
        <v>320</v>
      </c>
      <c r="F15" s="69"/>
      <c r="G15" s="36"/>
      <c r="H15" s="35"/>
      <c r="I15" s="35"/>
      <c r="J15" s="35"/>
      <c r="K15" s="33"/>
      <c r="L15" s="33"/>
    </row>
    <row r="16" spans="2:12" ht="15.75" x14ac:dyDescent="0.25">
      <c r="B16" s="33"/>
      <c r="C16" s="82"/>
      <c r="D16" s="37">
        <f ca="1">TODAY()</f>
        <v>43622</v>
      </c>
      <c r="E16" s="36"/>
      <c r="F16" s="36"/>
      <c r="G16" s="36"/>
      <c r="H16" s="35"/>
      <c r="I16" s="35"/>
      <c r="J16" s="35"/>
      <c r="K16" s="33"/>
      <c r="L16" s="33"/>
    </row>
    <row r="17" spans="1:12" ht="39" customHeight="1" thickBot="1" x14ac:dyDescent="0.3">
      <c r="A17" s="40" t="s">
        <v>308</v>
      </c>
      <c r="B17" s="41" t="s">
        <v>309</v>
      </c>
      <c r="C17" s="42" t="s">
        <v>231</v>
      </c>
      <c r="D17" s="43" t="s">
        <v>310</v>
      </c>
      <c r="E17" s="43" t="s">
        <v>311</v>
      </c>
      <c r="F17" s="62" t="s">
        <v>141</v>
      </c>
      <c r="G17" s="62" t="s">
        <v>312</v>
      </c>
      <c r="H17" s="62" t="s">
        <v>313</v>
      </c>
      <c r="I17" s="62" t="s">
        <v>314</v>
      </c>
      <c r="J17" s="33"/>
      <c r="K17" s="33"/>
      <c r="L17" s="33"/>
    </row>
    <row r="18" spans="1:12" ht="77.25" thickBot="1" x14ac:dyDescent="1.1499999999999999">
      <c r="A18" s="44">
        <v>1</v>
      </c>
      <c r="B18" s="45" t="s">
        <v>23</v>
      </c>
      <c r="C18" s="46">
        <v>100</v>
      </c>
      <c r="D18" s="91"/>
      <c r="E18" s="92"/>
      <c r="F18" s="136"/>
      <c r="G18" s="85"/>
      <c r="H18" s="86"/>
      <c r="I18" s="87"/>
      <c r="J18" s="33"/>
      <c r="L18" s="33"/>
    </row>
    <row r="19" spans="1:12" ht="77.25" thickBot="1" x14ac:dyDescent="1.1499999999999999">
      <c r="A19" s="44">
        <v>2</v>
      </c>
      <c r="B19" s="45" t="s">
        <v>76</v>
      </c>
      <c r="C19" s="46">
        <v>100</v>
      </c>
      <c r="D19" s="91"/>
      <c r="E19" s="92"/>
      <c r="F19" s="136"/>
      <c r="G19" s="85"/>
      <c r="H19" s="86"/>
      <c r="I19" s="87"/>
      <c r="J19" s="33"/>
      <c r="L19" s="33"/>
    </row>
    <row r="20" spans="1:12" ht="77.25" thickBot="1" x14ac:dyDescent="1.1499999999999999">
      <c r="A20" s="44">
        <v>3</v>
      </c>
      <c r="B20" s="56" t="s">
        <v>77</v>
      </c>
      <c r="C20" s="46">
        <v>100</v>
      </c>
      <c r="D20" s="91"/>
      <c r="E20" s="92"/>
      <c r="F20" s="136"/>
      <c r="G20" s="85"/>
      <c r="H20" s="86"/>
      <c r="I20" s="87"/>
      <c r="J20" s="33"/>
      <c r="L20" s="33"/>
    </row>
    <row r="21" spans="1:12" ht="77.25" thickBot="1" x14ac:dyDescent="1.1499999999999999">
      <c r="A21" s="44">
        <v>4</v>
      </c>
      <c r="B21" s="56" t="s">
        <v>78</v>
      </c>
      <c r="C21" s="46">
        <v>100</v>
      </c>
      <c r="D21" s="91"/>
      <c r="E21" s="92"/>
      <c r="F21" s="136"/>
      <c r="G21" s="85"/>
      <c r="H21" s="86"/>
      <c r="I21" s="87"/>
      <c r="J21" s="33"/>
      <c r="K21" s="39"/>
      <c r="L21" s="33"/>
    </row>
    <row r="22" spans="1:12" ht="77.25" thickBot="1" x14ac:dyDescent="1.1499999999999999">
      <c r="A22" s="44">
        <v>5</v>
      </c>
      <c r="B22" s="45" t="s">
        <v>79</v>
      </c>
      <c r="C22" s="46">
        <v>100</v>
      </c>
      <c r="D22" s="91"/>
      <c r="E22" s="92"/>
      <c r="F22" s="136"/>
      <c r="G22" s="85"/>
      <c r="H22" s="86"/>
      <c r="I22" s="87"/>
      <c r="J22" s="33"/>
      <c r="K22" s="39"/>
      <c r="L22" s="33"/>
    </row>
    <row r="23" spans="1:12" ht="77.25" thickBot="1" x14ac:dyDescent="1.1499999999999999">
      <c r="A23" s="44">
        <v>6</v>
      </c>
      <c r="B23" s="45" t="s">
        <v>27</v>
      </c>
      <c r="C23" s="46">
        <v>100</v>
      </c>
      <c r="D23" s="91"/>
      <c r="E23" s="92"/>
      <c r="F23" s="136"/>
      <c r="G23" s="85"/>
      <c r="H23" s="86"/>
      <c r="I23" s="87"/>
      <c r="J23" s="33"/>
      <c r="K23" s="39"/>
      <c r="L23" s="33"/>
    </row>
    <row r="24" spans="1:12" ht="77.25" thickBot="1" x14ac:dyDescent="1.1499999999999999">
      <c r="A24" s="44">
        <v>7</v>
      </c>
      <c r="B24" s="45" t="s">
        <v>28</v>
      </c>
      <c r="C24" s="46">
        <v>100</v>
      </c>
      <c r="D24" s="91"/>
      <c r="E24" s="92"/>
      <c r="F24" s="136"/>
      <c r="G24" s="85"/>
      <c r="H24" s="86"/>
      <c r="I24" s="87"/>
      <c r="J24" s="33"/>
      <c r="K24" s="39"/>
      <c r="L24" s="33"/>
    </row>
    <row r="25" spans="1:12" ht="70.5" customHeight="1" thickBot="1" x14ac:dyDescent="1.1499999999999999">
      <c r="A25" s="44">
        <v>8</v>
      </c>
      <c r="B25" s="45" t="s">
        <v>29</v>
      </c>
      <c r="C25" s="46">
        <v>100</v>
      </c>
      <c r="D25" s="91"/>
      <c r="E25" s="92"/>
      <c r="F25" s="136"/>
      <c r="G25" s="85"/>
      <c r="H25" s="86"/>
      <c r="I25" s="87"/>
      <c r="J25" s="33"/>
      <c r="K25" s="39"/>
      <c r="L25" s="33"/>
    </row>
    <row r="26" spans="1:12" ht="77.25" thickBot="1" x14ac:dyDescent="1.1499999999999999">
      <c r="A26" s="44">
        <v>9</v>
      </c>
      <c r="B26" s="45" t="s">
        <v>58</v>
      </c>
      <c r="C26" s="46">
        <v>100</v>
      </c>
      <c r="D26" s="91"/>
      <c r="E26" s="92"/>
      <c r="F26" s="136"/>
      <c r="G26" s="85"/>
      <c r="H26" s="86"/>
      <c r="I26" s="87"/>
      <c r="J26" s="33"/>
      <c r="K26" s="39"/>
      <c r="L26" s="33"/>
    </row>
    <row r="27" spans="1:12" ht="74.25" customHeight="1" x14ac:dyDescent="1.1000000000000001">
      <c r="A27" s="44">
        <v>10</v>
      </c>
      <c r="B27" s="51" t="s">
        <v>31</v>
      </c>
      <c r="C27" s="46">
        <v>100</v>
      </c>
      <c r="D27" s="91"/>
      <c r="E27" s="92"/>
      <c r="F27" s="136"/>
      <c r="G27" s="88"/>
      <c r="H27" s="89"/>
      <c r="I27" s="90"/>
      <c r="J27" s="33"/>
      <c r="K27" s="39"/>
      <c r="L27" s="33"/>
    </row>
    <row r="28" spans="1:12" ht="15.75" x14ac:dyDescent="0.25">
      <c r="A28" s="83"/>
      <c r="B28" s="71"/>
      <c r="C28" s="84"/>
      <c r="D28" s="71"/>
      <c r="E28" s="71"/>
      <c r="F28" s="71"/>
      <c r="G28" s="71"/>
      <c r="H28" s="71"/>
      <c r="I28" s="71"/>
      <c r="J28" s="33"/>
      <c r="K28" s="33"/>
      <c r="L28" s="33"/>
    </row>
    <row r="29" spans="1:12" ht="15.75" customHeight="1" thickBot="1" x14ac:dyDescent="0.35">
      <c r="A29" s="83"/>
      <c r="B29" s="71"/>
      <c r="C29" s="84"/>
      <c r="D29" s="71"/>
      <c r="E29" s="322" t="s">
        <v>315</v>
      </c>
      <c r="F29" s="322"/>
      <c r="G29" s="322" t="s">
        <v>316</v>
      </c>
      <c r="H29" s="322"/>
      <c r="I29" s="322"/>
      <c r="J29" s="33"/>
      <c r="K29" s="33"/>
      <c r="L29" s="33"/>
    </row>
    <row r="30" spans="1:12" ht="16.5" customHeight="1" x14ac:dyDescent="0.25">
      <c r="A30" s="83"/>
      <c r="B30" s="71"/>
      <c r="C30" s="84"/>
      <c r="D30" s="313" t="s">
        <v>317</v>
      </c>
      <c r="E30" s="323" t="s">
        <v>318</v>
      </c>
      <c r="F30" s="324"/>
      <c r="G30" s="323"/>
      <c r="H30" s="327"/>
      <c r="I30" s="324"/>
      <c r="J30" s="33"/>
      <c r="K30" s="33"/>
      <c r="L30" s="33"/>
    </row>
    <row r="31" spans="1:12" ht="16.5" thickBot="1" x14ac:dyDescent="0.3">
      <c r="A31" s="83"/>
      <c r="B31" s="71"/>
      <c r="C31" s="84"/>
      <c r="D31" s="313"/>
      <c r="E31" s="325"/>
      <c r="F31" s="326"/>
      <c r="G31" s="325"/>
      <c r="H31" s="328"/>
      <c r="I31" s="326"/>
      <c r="J31" s="33"/>
      <c r="K31" s="33"/>
      <c r="L31" s="33"/>
    </row>
    <row r="32" spans="1:12" ht="16.5" customHeight="1" x14ac:dyDescent="0.25">
      <c r="A32" s="83"/>
      <c r="B32" s="71"/>
      <c r="C32" s="84"/>
      <c r="D32" s="313" t="s">
        <v>319</v>
      </c>
      <c r="E32" s="314" t="str">
        <f>IF(SUM(F8:F27)=0,"",SUM(F8:F27))</f>
        <v/>
      </c>
      <c r="F32" s="315"/>
      <c r="G32" s="314"/>
      <c r="H32" s="318"/>
      <c r="I32" s="315"/>
      <c r="J32" s="33"/>
      <c r="K32" s="33"/>
      <c r="L32" s="33"/>
    </row>
    <row r="33" spans="1:12" ht="16.5" thickBot="1" x14ac:dyDescent="0.3">
      <c r="A33" s="83"/>
      <c r="B33" s="71"/>
      <c r="C33" s="84"/>
      <c r="D33" s="313"/>
      <c r="E33" s="316"/>
      <c r="F33" s="317"/>
      <c r="G33" s="316"/>
      <c r="H33" s="319"/>
      <c r="I33" s="317"/>
      <c r="J33" s="33"/>
      <c r="K33" s="33"/>
      <c r="L33" s="33"/>
    </row>
    <row r="34" spans="1:12" ht="15.75" x14ac:dyDescent="0.25">
      <c r="B34" s="33"/>
      <c r="C34" s="82"/>
      <c r="D34" s="33"/>
      <c r="E34" s="33"/>
      <c r="F34" s="33"/>
      <c r="G34" s="33"/>
      <c r="H34" s="33"/>
      <c r="I34" s="33"/>
      <c r="J34" s="33"/>
      <c r="K34" s="33"/>
      <c r="L34" s="33"/>
    </row>
    <row r="35" spans="1:12" ht="15.75" x14ac:dyDescent="0.25">
      <c r="B35" s="33"/>
      <c r="C35" s="82"/>
      <c r="D35" s="33"/>
      <c r="E35" s="33"/>
      <c r="F35" s="33"/>
      <c r="G35" s="33"/>
      <c r="H35" s="33"/>
      <c r="I35" s="33"/>
      <c r="J35" s="33"/>
      <c r="K35" s="33"/>
      <c r="L35" s="33"/>
    </row>
    <row r="36" spans="1:12" ht="15.75" x14ac:dyDescent="0.25">
      <c r="B36" s="33"/>
      <c r="C36" s="82"/>
      <c r="D36" s="33"/>
      <c r="E36" s="33"/>
      <c r="F36" s="33"/>
      <c r="G36" s="33"/>
      <c r="H36" s="33"/>
      <c r="I36" s="33"/>
      <c r="J36" s="33"/>
      <c r="K36" s="33"/>
      <c r="L36" s="33"/>
    </row>
    <row r="37" spans="1:12" ht="15.75" x14ac:dyDescent="0.25">
      <c r="B37" s="33"/>
      <c r="C37" s="82"/>
      <c r="D37" s="33"/>
      <c r="E37" s="33"/>
      <c r="F37" s="33"/>
      <c r="G37" s="33"/>
      <c r="H37" s="33"/>
      <c r="I37" s="33"/>
      <c r="J37" s="33"/>
      <c r="K37" s="33"/>
      <c r="L37" s="33"/>
    </row>
    <row r="38" spans="1:12" ht="15.75" x14ac:dyDescent="0.25">
      <c r="B38" s="33"/>
      <c r="C38" s="82"/>
      <c r="D38" s="33"/>
      <c r="E38" s="33"/>
      <c r="F38" s="33"/>
      <c r="G38" s="33"/>
      <c r="H38" s="33"/>
      <c r="I38" s="33"/>
      <c r="J38" s="33"/>
      <c r="K38" s="33"/>
      <c r="L38" s="33"/>
    </row>
    <row r="39" spans="1:12" ht="15.75" x14ac:dyDescent="0.25">
      <c r="B39" s="33"/>
      <c r="C39" s="82"/>
      <c r="D39" s="33"/>
      <c r="E39" s="33"/>
      <c r="F39" s="33"/>
      <c r="G39" s="33"/>
      <c r="H39" s="33"/>
      <c r="I39" s="33"/>
      <c r="J39" s="33"/>
      <c r="K39" s="33"/>
      <c r="L39" s="33"/>
    </row>
    <row r="40" spans="1:12" ht="15.75" x14ac:dyDescent="0.25">
      <c r="B40" s="33"/>
      <c r="C40" s="82"/>
      <c r="D40" s="33"/>
      <c r="E40" s="33"/>
      <c r="F40" s="33"/>
      <c r="G40" s="33"/>
      <c r="H40" s="33"/>
      <c r="I40" s="33"/>
      <c r="J40" s="33"/>
      <c r="K40" s="33"/>
      <c r="L40" s="33"/>
    </row>
    <row r="41" spans="1:12" ht="15.75" x14ac:dyDescent="0.25">
      <c r="B41" s="33"/>
      <c r="C41" s="82"/>
      <c r="D41" s="33"/>
      <c r="E41" s="33"/>
      <c r="F41" s="33"/>
      <c r="G41" s="33"/>
      <c r="H41" s="33"/>
      <c r="I41" s="33"/>
      <c r="J41" s="33"/>
      <c r="K41" s="33"/>
      <c r="L41" s="33"/>
    </row>
    <row r="42" spans="1:12" ht="15.75" x14ac:dyDescent="0.25">
      <c r="B42" s="33"/>
      <c r="C42" s="82"/>
      <c r="D42" s="33"/>
      <c r="E42" s="33"/>
      <c r="F42" s="33"/>
      <c r="G42" s="33"/>
      <c r="H42" s="33"/>
      <c r="I42" s="33"/>
      <c r="J42" s="33"/>
      <c r="K42" s="33"/>
      <c r="L42" s="33"/>
    </row>
    <row r="43" spans="1:12" ht="15.75" x14ac:dyDescent="0.25">
      <c r="B43" s="33"/>
      <c r="C43" s="82"/>
      <c r="D43" s="33"/>
      <c r="E43" s="33"/>
      <c r="F43" s="33"/>
      <c r="G43" s="33"/>
      <c r="H43" s="33"/>
      <c r="I43" s="33"/>
      <c r="J43" s="33"/>
      <c r="K43" s="33"/>
      <c r="L43" s="33"/>
    </row>
    <row r="44" spans="1:12" ht="15.75" x14ac:dyDescent="0.25">
      <c r="B44" s="33"/>
      <c r="C44" s="82"/>
      <c r="D44" s="33"/>
      <c r="E44" s="33"/>
      <c r="F44" s="33"/>
      <c r="G44" s="33"/>
      <c r="H44" s="33"/>
      <c r="I44" s="33"/>
      <c r="J44" s="33"/>
      <c r="K44" s="33"/>
      <c r="L44" s="33"/>
    </row>
    <row r="45" spans="1:12" ht="15.75" x14ac:dyDescent="0.25">
      <c r="B45" s="33"/>
      <c r="C45" s="82"/>
      <c r="D45" s="33"/>
      <c r="E45" s="33"/>
      <c r="F45" s="33"/>
      <c r="G45" s="33"/>
      <c r="H45" s="33"/>
      <c r="I45" s="33"/>
      <c r="J45" s="33"/>
      <c r="K45" s="33"/>
      <c r="L45" s="33"/>
    </row>
    <row r="46" spans="1:12" ht="15.75" x14ac:dyDescent="0.25">
      <c r="B46" s="33"/>
      <c r="C46" s="82"/>
      <c r="D46" s="33"/>
      <c r="E46" s="33"/>
      <c r="F46" s="33"/>
      <c r="G46" s="33"/>
      <c r="H46" s="33"/>
      <c r="I46" s="33"/>
      <c r="J46" s="33"/>
      <c r="K46" s="33"/>
      <c r="L46" s="33"/>
    </row>
    <row r="47" spans="1:12" ht="15.75" x14ac:dyDescent="0.25">
      <c r="B47" s="33"/>
      <c r="C47" s="82"/>
      <c r="D47" s="33"/>
      <c r="E47" s="33"/>
      <c r="F47" s="33"/>
      <c r="G47" s="33"/>
      <c r="H47" s="33"/>
      <c r="I47" s="33"/>
      <c r="J47" s="33"/>
      <c r="K47" s="33"/>
      <c r="L47" s="33"/>
    </row>
    <row r="48" spans="1:12" ht="15.75" x14ac:dyDescent="0.25">
      <c r="B48" s="33"/>
      <c r="C48" s="82"/>
      <c r="D48" s="33"/>
      <c r="E48" s="33"/>
      <c r="F48" s="33"/>
      <c r="G48" s="33"/>
      <c r="H48" s="33"/>
      <c r="I48" s="33"/>
      <c r="J48" s="33"/>
      <c r="K48" s="33"/>
      <c r="L48" s="33"/>
    </row>
    <row r="49" spans="2:12" ht="15.75" x14ac:dyDescent="0.25">
      <c r="B49" s="33"/>
      <c r="C49" s="82"/>
      <c r="D49" s="33"/>
      <c r="E49" s="33"/>
      <c r="F49" s="33"/>
      <c r="G49" s="33"/>
      <c r="H49" s="33"/>
      <c r="I49" s="33"/>
      <c r="J49" s="33"/>
      <c r="K49" s="33"/>
      <c r="L49" s="33"/>
    </row>
    <row r="50" spans="2:12" ht="15.75" x14ac:dyDescent="0.25">
      <c r="B50" s="33"/>
      <c r="C50" s="82"/>
      <c r="D50" s="33"/>
      <c r="E50" s="33"/>
      <c r="F50" s="33"/>
      <c r="G50" s="33"/>
      <c r="H50" s="33"/>
      <c r="I50" s="33"/>
      <c r="J50" s="33"/>
      <c r="K50" s="33"/>
      <c r="L50" s="33"/>
    </row>
    <row r="51" spans="2:12" ht="15.75" x14ac:dyDescent="0.25">
      <c r="B51" s="33"/>
      <c r="C51" s="82"/>
      <c r="D51" s="33"/>
      <c r="E51" s="33"/>
      <c r="F51" s="33"/>
      <c r="G51" s="33"/>
      <c r="H51" s="33"/>
      <c r="I51" s="33"/>
      <c r="J51" s="33"/>
      <c r="K51" s="33"/>
      <c r="L51" s="33"/>
    </row>
    <row r="52" spans="2:12" ht="15.75" x14ac:dyDescent="0.25">
      <c r="B52" s="33"/>
      <c r="C52" s="82"/>
      <c r="D52" s="33"/>
      <c r="E52" s="33"/>
      <c r="F52" s="33"/>
      <c r="G52" s="33"/>
      <c r="H52" s="33"/>
      <c r="I52" s="33"/>
      <c r="J52" s="33"/>
      <c r="K52" s="33"/>
      <c r="L52" s="33"/>
    </row>
  </sheetData>
  <mergeCells count="9">
    <mergeCell ref="D32:D33"/>
    <mergeCell ref="E32:F33"/>
    <mergeCell ref="G32:I33"/>
    <mergeCell ref="K5:L5"/>
    <mergeCell ref="E29:F29"/>
    <mergeCell ref="G29:I29"/>
    <mergeCell ref="D30:D31"/>
    <mergeCell ref="E30:F31"/>
    <mergeCell ref="G30:I31"/>
  </mergeCells>
  <pageMargins left="0.39370078740157483" right="0.59055118110236227" top="0" bottom="0.74803149606299213" header="0" footer="0.31496062992125984"/>
  <pageSetup paperSize="9" scale="65" fitToHeight="0" orientation="portrait" horizontalDpi="300" verticalDpi="300" r:id="rId1"/>
  <headerFooter scaleWithDoc="0" alignWithMargins="0">
    <oddFooter>&amp;L&amp;"Garamond,Normal"&amp;8DIRECTION DE LA SOLDE&amp;C&amp;12&amp;P/&amp;N&amp;R&amp;"Garamond,Normal"&amp;8SERVICE CONTROLE DE GESTION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F1C5A-CE70-4033-BFF1-1772125BC41F}">
  <sheetPr codeName="Feuil4">
    <tabColor theme="6" tint="-0.249977111117893"/>
    <pageSetUpPr fitToPage="1"/>
  </sheetPr>
  <dimension ref="A1:L52"/>
  <sheetViews>
    <sheetView showGridLines="0" zoomScaleNormal="100" workbookViewId="0">
      <selection activeCell="C35" sqref="C35"/>
    </sheetView>
  </sheetViews>
  <sheetFormatPr baseColWidth="10" defaultColWidth="11.42578125" defaultRowHeight="12.75" x14ac:dyDescent="0.2"/>
  <cols>
    <col min="1" max="1" width="5.5703125" style="81" customWidth="1"/>
    <col min="2" max="2" width="25.5703125" style="29" customWidth="1"/>
    <col min="3" max="3" width="7.7109375" style="81" bestFit="1" customWidth="1"/>
    <col min="4" max="4" width="27.42578125" style="29" customWidth="1"/>
    <col min="5" max="5" width="26.5703125" style="29" customWidth="1"/>
    <col min="6" max="6" width="15.5703125" style="29" customWidth="1"/>
    <col min="7" max="7" width="15.5703125" style="29" bestFit="1" customWidth="1"/>
    <col min="8" max="8" width="9.140625" style="29" customWidth="1"/>
    <col min="9" max="9" width="9" style="29" bestFit="1" customWidth="1"/>
    <col min="10" max="10" width="11.42578125" style="29"/>
    <col min="11" max="11" width="20.140625" style="29" customWidth="1"/>
    <col min="12" max="16384" width="11.42578125" style="29"/>
  </cols>
  <sheetData>
    <row r="1" spans="2:12" x14ac:dyDescent="0.2">
      <c r="B1" s="28"/>
      <c r="C1" s="28"/>
    </row>
    <row r="2" spans="2:12" ht="6.75" customHeight="1" x14ac:dyDescent="0.2">
      <c r="B2" s="30"/>
      <c r="C2" s="30"/>
    </row>
    <row r="3" spans="2:12" x14ac:dyDescent="0.2">
      <c r="B3" s="28"/>
      <c r="C3" s="28"/>
    </row>
    <row r="4" spans="2:12" ht="7.5" customHeight="1" thickBot="1" x14ac:dyDescent="0.25">
      <c r="B4" s="30"/>
      <c r="C4" s="30"/>
    </row>
    <row r="5" spans="2:12" ht="30.75" customHeight="1" thickBot="1" x14ac:dyDescent="0.25">
      <c r="B5" s="31"/>
      <c r="C5" s="31"/>
      <c r="K5" s="329" t="s">
        <v>298</v>
      </c>
      <c r="L5" s="330"/>
    </row>
    <row r="6" spans="2:12" ht="7.5" customHeight="1" thickBot="1" x14ac:dyDescent="0.25">
      <c r="B6" s="30"/>
      <c r="C6" s="30"/>
      <c r="K6" s="63"/>
      <c r="L6" s="64"/>
    </row>
    <row r="7" spans="2:12" ht="13.5" thickBot="1" x14ac:dyDescent="0.25">
      <c r="B7" s="28"/>
      <c r="C7" s="28"/>
      <c r="K7" s="102" t="s">
        <v>321</v>
      </c>
      <c r="L7" s="137">
        <v>2</v>
      </c>
    </row>
    <row r="8" spans="2:12" ht="6.75" customHeight="1" x14ac:dyDescent="0.2">
      <c r="B8" s="30"/>
      <c r="C8" s="30"/>
    </row>
    <row r="9" spans="2:12" x14ac:dyDescent="0.2">
      <c r="B9" s="28"/>
      <c r="C9" s="28"/>
    </row>
    <row r="10" spans="2:12" ht="8.25" customHeight="1" x14ac:dyDescent="0.2">
      <c r="B10" s="30"/>
      <c r="C10" s="30"/>
    </row>
    <row r="11" spans="2:12" ht="23.25" customHeight="1" x14ac:dyDescent="0.2">
      <c r="B11" s="28"/>
      <c r="C11" s="28"/>
      <c r="E11" s="28"/>
    </row>
    <row r="12" spans="2:12" ht="23.25" customHeight="1" x14ac:dyDescent="0.2">
      <c r="E12" s="28"/>
    </row>
    <row r="13" spans="2:12" ht="28.5" x14ac:dyDescent="0.2">
      <c r="D13" s="65"/>
      <c r="E13" s="66" t="s">
        <v>306</v>
      </c>
      <c r="F13" s="65"/>
    </row>
    <row r="14" spans="2:12" ht="28.5" x14ac:dyDescent="0.25">
      <c r="B14" s="33"/>
      <c r="C14" s="82"/>
      <c r="D14" s="67"/>
      <c r="E14" s="68" t="str">
        <f ca="1">TEXT(D16,"mmmm")&amp;" "&amp; YEAR(D16)</f>
        <v>juin 2019</v>
      </c>
      <c r="F14" s="67"/>
      <c r="G14" s="34"/>
      <c r="H14" s="35"/>
      <c r="I14" s="35"/>
      <c r="J14" s="35"/>
      <c r="K14" s="33"/>
      <c r="L14" s="33"/>
    </row>
    <row r="15" spans="2:12" ht="28.5" x14ac:dyDescent="0.45">
      <c r="B15" s="33"/>
      <c r="C15" s="82"/>
      <c r="D15" s="69"/>
      <c r="E15" s="70" t="s">
        <v>322</v>
      </c>
      <c r="F15" s="69"/>
      <c r="G15" s="36"/>
      <c r="H15" s="35"/>
      <c r="I15" s="35"/>
      <c r="J15" s="35"/>
      <c r="K15" s="33"/>
      <c r="L15" s="33"/>
    </row>
    <row r="16" spans="2:12" ht="15.75" x14ac:dyDescent="0.25">
      <c r="B16" s="33"/>
      <c r="C16" s="82"/>
      <c r="D16" s="134">
        <f ca="1">TODAY()</f>
        <v>43622</v>
      </c>
      <c r="E16" s="69"/>
      <c r="F16" s="69"/>
      <c r="G16" s="36"/>
      <c r="H16" s="35"/>
      <c r="I16" s="35"/>
      <c r="J16" s="35"/>
      <c r="K16" s="33"/>
      <c r="L16" s="33"/>
    </row>
    <row r="17" spans="1:12" ht="45" customHeight="1" thickBot="1" x14ac:dyDescent="0.3">
      <c r="A17" s="94" t="s">
        <v>308</v>
      </c>
      <c r="B17" s="41" t="s">
        <v>309</v>
      </c>
      <c r="C17" s="42" t="s">
        <v>231</v>
      </c>
      <c r="D17" s="43" t="s">
        <v>310</v>
      </c>
      <c r="E17" s="43" t="s">
        <v>311</v>
      </c>
      <c r="F17" s="62" t="s">
        <v>141</v>
      </c>
      <c r="G17" s="62" t="s">
        <v>312</v>
      </c>
      <c r="H17" s="62" t="s">
        <v>313</v>
      </c>
      <c r="I17" s="62" t="s">
        <v>314</v>
      </c>
      <c r="J17" s="33"/>
      <c r="K17" s="33"/>
      <c r="L17" s="33"/>
    </row>
    <row r="18" spans="1:12" ht="77.25" thickBot="1" x14ac:dyDescent="1.1499999999999999">
      <c r="A18" s="44">
        <v>1</v>
      </c>
      <c r="B18" s="56" t="s">
        <v>88</v>
      </c>
      <c r="C18" s="46">
        <v>100</v>
      </c>
      <c r="D18" s="95"/>
      <c r="E18" s="96"/>
      <c r="F18" s="38"/>
      <c r="G18" s="97"/>
      <c r="H18" s="98"/>
      <c r="I18" s="87"/>
      <c r="J18" s="33"/>
      <c r="L18" s="33"/>
    </row>
    <row r="19" spans="1:12" ht="77.25" thickBot="1" x14ac:dyDescent="1.1499999999999999">
      <c r="A19" s="44">
        <v>2</v>
      </c>
      <c r="B19" s="45" t="s">
        <v>33</v>
      </c>
      <c r="C19" s="46">
        <v>100</v>
      </c>
      <c r="D19" s="95"/>
      <c r="E19" s="96"/>
      <c r="F19" s="38"/>
      <c r="G19" s="97"/>
      <c r="H19" s="98"/>
      <c r="I19" s="87"/>
      <c r="J19" s="33"/>
      <c r="L19" s="33"/>
    </row>
    <row r="20" spans="1:12" ht="77.25" thickBot="1" x14ac:dyDescent="1.1499999999999999">
      <c r="A20" s="44">
        <v>3</v>
      </c>
      <c r="B20" s="56" t="s">
        <v>34</v>
      </c>
      <c r="C20" s="46">
        <v>100</v>
      </c>
      <c r="D20" s="95"/>
      <c r="E20" s="96"/>
      <c r="F20" s="38"/>
      <c r="G20" s="97"/>
      <c r="H20" s="98"/>
      <c r="I20" s="87"/>
      <c r="J20" s="33"/>
      <c r="L20" s="33"/>
    </row>
    <row r="21" spans="1:12" ht="72" customHeight="1" thickBot="1" x14ac:dyDescent="1.1499999999999999">
      <c r="A21" s="44">
        <v>4</v>
      </c>
      <c r="B21" s="56" t="s">
        <v>35</v>
      </c>
      <c r="C21" s="46">
        <v>100</v>
      </c>
      <c r="D21" s="95"/>
      <c r="E21" s="96"/>
      <c r="F21" s="38"/>
      <c r="G21" s="97"/>
      <c r="H21" s="98"/>
      <c r="I21" s="87"/>
      <c r="J21" s="33"/>
      <c r="K21" s="39"/>
      <c r="L21" s="33"/>
    </row>
    <row r="22" spans="1:12" ht="68.25" customHeight="1" thickBot="1" x14ac:dyDescent="1.1499999999999999">
      <c r="A22" s="44">
        <v>5</v>
      </c>
      <c r="B22" s="56" t="s">
        <v>89</v>
      </c>
      <c r="C22" s="46">
        <v>100</v>
      </c>
      <c r="D22" s="95"/>
      <c r="E22" s="96"/>
      <c r="F22" s="38"/>
      <c r="G22" s="97"/>
      <c r="H22" s="98"/>
      <c r="I22" s="87"/>
      <c r="J22" s="33"/>
      <c r="K22" s="39"/>
      <c r="L22" s="33"/>
    </row>
    <row r="23" spans="1:12" ht="77.25" thickBot="1" x14ac:dyDescent="1.1499999999999999">
      <c r="A23" s="44">
        <v>6</v>
      </c>
      <c r="B23" s="56" t="s">
        <v>90</v>
      </c>
      <c r="C23" s="46">
        <v>100</v>
      </c>
      <c r="D23" s="95"/>
      <c r="E23" s="96"/>
      <c r="F23" s="38"/>
      <c r="G23" s="97"/>
      <c r="H23" s="98"/>
      <c r="I23" s="87"/>
      <c r="J23" s="33"/>
      <c r="K23" s="39"/>
      <c r="L23" s="33"/>
    </row>
    <row r="24" spans="1:12" ht="77.25" thickBot="1" x14ac:dyDescent="1.1499999999999999">
      <c r="A24" s="44">
        <v>7</v>
      </c>
      <c r="B24" s="45" t="s">
        <v>91</v>
      </c>
      <c r="C24" s="46">
        <v>100</v>
      </c>
      <c r="D24" s="95"/>
      <c r="E24" s="96"/>
      <c r="F24" s="38"/>
      <c r="G24" s="97"/>
      <c r="H24" s="98"/>
      <c r="I24" s="87"/>
      <c r="J24" s="33"/>
      <c r="K24" s="39"/>
      <c r="L24" s="33"/>
    </row>
    <row r="25" spans="1:12" ht="67.5" customHeight="1" thickBot="1" x14ac:dyDescent="1.1499999999999999">
      <c r="A25" s="44">
        <v>8</v>
      </c>
      <c r="B25" s="56" t="s">
        <v>92</v>
      </c>
      <c r="C25" s="46">
        <v>100</v>
      </c>
      <c r="D25" s="95"/>
      <c r="E25" s="96"/>
      <c r="F25" s="38"/>
      <c r="G25" s="97"/>
      <c r="H25" s="98"/>
      <c r="I25" s="87"/>
      <c r="J25" s="33"/>
      <c r="K25" s="39"/>
      <c r="L25" s="33"/>
    </row>
    <row r="26" spans="1:12" ht="76.5" x14ac:dyDescent="1.1000000000000001">
      <c r="A26" s="44">
        <v>9</v>
      </c>
      <c r="B26" s="99" t="s">
        <v>93</v>
      </c>
      <c r="C26" s="46">
        <v>100</v>
      </c>
      <c r="D26" s="95"/>
      <c r="E26" s="96"/>
      <c r="F26" s="38"/>
      <c r="G26" s="100"/>
      <c r="H26" s="101"/>
      <c r="I26" s="90"/>
      <c r="J26" s="33"/>
      <c r="K26" s="39"/>
      <c r="L26" s="33"/>
    </row>
    <row r="27" spans="1:12" ht="21" customHeight="1" x14ac:dyDescent="0.25">
      <c r="A27" s="83"/>
      <c r="B27" s="71"/>
      <c r="C27" s="84"/>
      <c r="D27" s="71"/>
      <c r="E27" s="71"/>
      <c r="F27" s="71"/>
      <c r="G27" s="71"/>
      <c r="H27" s="71"/>
      <c r="I27" s="71"/>
      <c r="J27" s="33"/>
      <c r="K27" s="33"/>
      <c r="L27" s="33"/>
    </row>
    <row r="28" spans="1:12" ht="15.75" customHeight="1" thickBot="1" x14ac:dyDescent="0.35">
      <c r="A28" s="83"/>
      <c r="B28" s="71"/>
      <c r="C28" s="84"/>
      <c r="D28" s="71"/>
      <c r="E28" s="322" t="s">
        <v>315</v>
      </c>
      <c r="F28" s="322"/>
      <c r="G28" s="322" t="s">
        <v>316</v>
      </c>
      <c r="H28" s="322"/>
      <c r="I28" s="322"/>
      <c r="J28" s="33"/>
      <c r="K28" s="33"/>
      <c r="L28" s="33"/>
    </row>
    <row r="29" spans="1:12" ht="16.5" customHeight="1" x14ac:dyDescent="0.25">
      <c r="A29" s="83"/>
      <c r="B29" s="71"/>
      <c r="C29" s="84"/>
      <c r="D29" s="313" t="s">
        <v>317</v>
      </c>
      <c r="E29" s="323" t="s">
        <v>318</v>
      </c>
      <c r="F29" s="324"/>
      <c r="G29" s="323"/>
      <c r="H29" s="327"/>
      <c r="I29" s="324"/>
      <c r="J29" s="33"/>
      <c r="K29" s="33"/>
      <c r="L29" s="33"/>
    </row>
    <row r="30" spans="1:12" ht="16.5" thickBot="1" x14ac:dyDescent="0.3">
      <c r="A30" s="83"/>
      <c r="B30" s="71"/>
      <c r="C30" s="84"/>
      <c r="D30" s="313"/>
      <c r="E30" s="325"/>
      <c r="F30" s="326"/>
      <c r="G30" s="325"/>
      <c r="H30" s="328"/>
      <c r="I30" s="326"/>
      <c r="J30" s="33"/>
      <c r="K30" s="33"/>
      <c r="L30" s="33"/>
    </row>
    <row r="31" spans="1:12" ht="15.75" customHeight="1" thickBot="1" x14ac:dyDescent="0.3">
      <c r="A31" s="83"/>
      <c r="B31" s="71"/>
      <c r="C31" s="84"/>
      <c r="D31" s="71"/>
      <c r="E31" s="71"/>
      <c r="F31" s="71"/>
      <c r="G31" s="71"/>
      <c r="H31" s="71"/>
      <c r="I31" s="71"/>
      <c r="J31" s="33"/>
      <c r="K31" s="33"/>
      <c r="L31" s="33"/>
    </row>
    <row r="32" spans="1:12" ht="16.5" customHeight="1" x14ac:dyDescent="0.25">
      <c r="A32" s="83"/>
      <c r="B32" s="71"/>
      <c r="C32" s="84"/>
      <c r="D32" s="313" t="s">
        <v>319</v>
      </c>
      <c r="E32" s="314" t="str">
        <f>IF(SUM(F7:F26)=0,"",SUM(F7:F26))</f>
        <v/>
      </c>
      <c r="F32" s="315"/>
      <c r="G32" s="314"/>
      <c r="H32" s="318"/>
      <c r="I32" s="315"/>
      <c r="J32" s="33"/>
      <c r="K32" s="33"/>
      <c r="L32" s="33"/>
    </row>
    <row r="33" spans="1:12" ht="16.5" thickBot="1" x14ac:dyDescent="0.3">
      <c r="A33" s="83"/>
      <c r="B33" s="71"/>
      <c r="C33" s="84"/>
      <c r="D33" s="313"/>
      <c r="E33" s="316"/>
      <c r="F33" s="317"/>
      <c r="G33" s="316"/>
      <c r="H33" s="319"/>
      <c r="I33" s="317"/>
      <c r="J33" s="33"/>
      <c r="K33" s="33"/>
      <c r="L33" s="33"/>
    </row>
    <row r="34" spans="1:12" ht="15.75" x14ac:dyDescent="0.25">
      <c r="B34" s="33"/>
      <c r="C34" s="82"/>
      <c r="D34" s="33"/>
      <c r="E34" s="33"/>
      <c r="F34" s="33"/>
      <c r="G34" s="33"/>
      <c r="H34" s="33"/>
      <c r="I34" s="33"/>
      <c r="J34" s="33"/>
      <c r="K34" s="33"/>
      <c r="L34" s="33"/>
    </row>
    <row r="35" spans="1:12" ht="15.75" x14ac:dyDescent="0.25">
      <c r="B35" s="33"/>
      <c r="C35" s="82"/>
      <c r="D35" s="33"/>
      <c r="E35" s="33"/>
      <c r="F35" s="33"/>
      <c r="G35" s="33"/>
      <c r="H35" s="33"/>
      <c r="I35" s="33"/>
      <c r="J35" s="33"/>
      <c r="K35" s="33"/>
      <c r="L35" s="33"/>
    </row>
    <row r="36" spans="1:12" ht="15.75" x14ac:dyDescent="0.25">
      <c r="B36" s="33"/>
      <c r="C36" s="82"/>
      <c r="D36" s="33"/>
      <c r="E36" s="33"/>
      <c r="F36" s="33"/>
      <c r="G36" s="33"/>
      <c r="H36" s="33"/>
      <c r="I36" s="33"/>
      <c r="J36" s="33"/>
      <c r="K36" s="33"/>
      <c r="L36" s="33"/>
    </row>
    <row r="37" spans="1:12" ht="15.75" x14ac:dyDescent="0.25">
      <c r="B37" s="33"/>
      <c r="C37" s="82"/>
      <c r="D37" s="33"/>
      <c r="E37" s="33"/>
      <c r="F37" s="33"/>
      <c r="G37" s="33"/>
      <c r="H37" s="33"/>
      <c r="I37" s="33"/>
      <c r="J37" s="33"/>
      <c r="K37" s="33"/>
      <c r="L37" s="33"/>
    </row>
    <row r="38" spans="1:12" ht="15.75" x14ac:dyDescent="0.25">
      <c r="B38" s="33"/>
      <c r="C38" s="82"/>
      <c r="D38" s="33"/>
      <c r="E38" s="33"/>
      <c r="F38" s="33"/>
      <c r="G38" s="33"/>
      <c r="H38" s="33"/>
      <c r="I38" s="33"/>
      <c r="J38" s="33"/>
      <c r="K38" s="33"/>
      <c r="L38" s="33"/>
    </row>
    <row r="39" spans="1:12" ht="15.75" x14ac:dyDescent="0.25">
      <c r="B39" s="33"/>
      <c r="C39" s="82"/>
      <c r="D39" s="33"/>
      <c r="E39" s="33"/>
      <c r="F39" s="33"/>
      <c r="G39" s="33"/>
      <c r="H39" s="33"/>
      <c r="I39" s="33"/>
      <c r="J39" s="33"/>
      <c r="K39" s="33"/>
      <c r="L39" s="33"/>
    </row>
    <row r="40" spans="1:12" ht="15.75" x14ac:dyDescent="0.25">
      <c r="B40" s="33"/>
      <c r="C40" s="82"/>
      <c r="D40" s="33"/>
      <c r="E40" s="33"/>
      <c r="F40" s="33"/>
      <c r="G40" s="33"/>
      <c r="H40" s="33"/>
      <c r="I40" s="33"/>
      <c r="J40" s="33"/>
      <c r="K40" s="33"/>
      <c r="L40" s="33"/>
    </row>
    <row r="41" spans="1:12" ht="15.75" x14ac:dyDescent="0.25">
      <c r="B41" s="33"/>
      <c r="C41" s="82"/>
      <c r="D41" s="33"/>
      <c r="E41" s="33"/>
      <c r="F41" s="33"/>
      <c r="G41" s="33"/>
      <c r="H41" s="33"/>
      <c r="I41" s="33"/>
      <c r="J41" s="33"/>
      <c r="K41" s="33"/>
      <c r="L41" s="33"/>
    </row>
    <row r="42" spans="1:12" ht="15.75" x14ac:dyDescent="0.25">
      <c r="B42" s="33"/>
      <c r="C42" s="82"/>
      <c r="D42" s="33"/>
      <c r="E42" s="33"/>
      <c r="F42" s="33"/>
      <c r="G42" s="33"/>
      <c r="H42" s="33"/>
      <c r="I42" s="33"/>
      <c r="J42" s="33"/>
      <c r="K42" s="33"/>
      <c r="L42" s="33"/>
    </row>
    <row r="43" spans="1:12" ht="15.75" x14ac:dyDescent="0.25">
      <c r="B43" s="33"/>
      <c r="C43" s="82"/>
      <c r="D43" s="33"/>
      <c r="E43" s="33"/>
      <c r="F43" s="33"/>
      <c r="G43" s="33"/>
      <c r="H43" s="33"/>
      <c r="I43" s="33"/>
      <c r="J43" s="33"/>
      <c r="K43" s="33"/>
      <c r="L43" s="33"/>
    </row>
    <row r="44" spans="1:12" ht="15.75" x14ac:dyDescent="0.25">
      <c r="B44" s="33"/>
      <c r="C44" s="82"/>
      <c r="D44" s="33"/>
      <c r="E44" s="33"/>
      <c r="F44" s="33"/>
      <c r="G44" s="33"/>
      <c r="H44" s="33"/>
      <c r="I44" s="33"/>
      <c r="J44" s="33"/>
      <c r="K44" s="33"/>
      <c r="L44" s="33"/>
    </row>
    <row r="45" spans="1:12" ht="15.75" x14ac:dyDescent="0.25">
      <c r="B45" s="33"/>
      <c r="C45" s="82"/>
      <c r="D45" s="33"/>
      <c r="E45" s="33"/>
      <c r="F45" s="33"/>
      <c r="G45" s="33"/>
      <c r="H45" s="33"/>
      <c r="I45" s="33"/>
      <c r="J45" s="33"/>
      <c r="K45" s="33"/>
      <c r="L45" s="33"/>
    </row>
    <row r="46" spans="1:12" ht="15.75" x14ac:dyDescent="0.25">
      <c r="B46" s="33"/>
      <c r="C46" s="82"/>
      <c r="D46" s="33"/>
      <c r="E46" s="33"/>
      <c r="F46" s="33"/>
      <c r="G46" s="33"/>
      <c r="H46" s="33"/>
      <c r="I46" s="33"/>
      <c r="J46" s="33"/>
      <c r="K46" s="33"/>
      <c r="L46" s="33"/>
    </row>
    <row r="47" spans="1:12" ht="15.75" x14ac:dyDescent="0.25">
      <c r="B47" s="33"/>
      <c r="C47" s="82"/>
      <c r="D47" s="33"/>
      <c r="E47" s="33"/>
      <c r="F47" s="33"/>
      <c r="G47" s="33"/>
      <c r="H47" s="33"/>
      <c r="I47" s="33"/>
      <c r="J47" s="33"/>
      <c r="K47" s="33"/>
      <c r="L47" s="33"/>
    </row>
    <row r="48" spans="1:12" ht="15.75" x14ac:dyDescent="0.25">
      <c r="B48" s="33"/>
      <c r="C48" s="82"/>
      <c r="D48" s="33"/>
      <c r="E48" s="33"/>
      <c r="F48" s="33"/>
      <c r="G48" s="33"/>
      <c r="H48" s="33"/>
      <c r="I48" s="33"/>
      <c r="J48" s="33"/>
      <c r="K48" s="33"/>
      <c r="L48" s="33"/>
    </row>
    <row r="49" spans="2:12" ht="15.75" x14ac:dyDescent="0.25">
      <c r="B49" s="33"/>
      <c r="C49" s="82"/>
      <c r="D49" s="33"/>
      <c r="E49" s="33"/>
      <c r="F49" s="33"/>
      <c r="G49" s="33"/>
      <c r="H49" s="33"/>
      <c r="I49" s="33"/>
      <c r="J49" s="33"/>
      <c r="K49" s="33"/>
      <c r="L49" s="33"/>
    </row>
    <row r="50" spans="2:12" ht="15.75" x14ac:dyDescent="0.25">
      <c r="B50" s="33"/>
      <c r="C50" s="82"/>
      <c r="D50" s="33"/>
      <c r="E50" s="33"/>
      <c r="F50" s="33"/>
      <c r="G50" s="33"/>
      <c r="H50" s="33"/>
      <c r="I50" s="33"/>
      <c r="J50" s="33"/>
      <c r="K50" s="33"/>
      <c r="L50" s="33"/>
    </row>
    <row r="51" spans="2:12" ht="15.75" x14ac:dyDescent="0.25">
      <c r="B51" s="33"/>
      <c r="C51" s="82"/>
      <c r="D51" s="33"/>
      <c r="E51" s="33"/>
      <c r="F51" s="33"/>
      <c r="G51" s="33"/>
      <c r="H51" s="33"/>
      <c r="I51" s="33"/>
      <c r="J51" s="33"/>
      <c r="K51" s="33"/>
      <c r="L51" s="33"/>
    </row>
    <row r="52" spans="2:12" ht="15.75" x14ac:dyDescent="0.25">
      <c r="B52" s="33"/>
      <c r="C52" s="82"/>
      <c r="D52" s="33"/>
      <c r="E52" s="33"/>
      <c r="F52" s="33"/>
      <c r="G52" s="33"/>
      <c r="H52" s="33"/>
      <c r="I52" s="33"/>
      <c r="J52" s="33"/>
      <c r="K52" s="33"/>
      <c r="L52" s="33"/>
    </row>
  </sheetData>
  <mergeCells count="9">
    <mergeCell ref="D32:D33"/>
    <mergeCell ref="E32:F33"/>
    <mergeCell ref="G32:I33"/>
    <mergeCell ref="K5:L5"/>
    <mergeCell ref="E28:F28"/>
    <mergeCell ref="G28:I28"/>
    <mergeCell ref="D29:D30"/>
    <mergeCell ref="E29:F30"/>
    <mergeCell ref="G29:I30"/>
  </mergeCells>
  <pageMargins left="0.39370078740157483" right="0.59055118110236227" top="0" bottom="0.74803149606299213" header="0" footer="0.31496062992125984"/>
  <pageSetup paperSize="9" scale="65" fitToHeight="0" orientation="portrait" horizontalDpi="300" verticalDpi="300" r:id="rId1"/>
  <headerFooter scaleWithDoc="0" alignWithMargins="0">
    <oddFooter>&amp;L&amp;"Garamond,Normal"&amp;8DIRECTION DE LA SOLDE&amp;C&amp;12&amp;P/&amp;N&amp;R&amp;"Garamond,Normal"&amp;8SERVICE CONTROLE DE GESTION</oddFoot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A2EE-F920-4198-9785-68223634AA16}">
  <sheetPr codeName="Feuil5">
    <tabColor theme="4" tint="0.39997558519241921"/>
    <pageSetUpPr fitToPage="1"/>
  </sheetPr>
  <dimension ref="A1:L54"/>
  <sheetViews>
    <sheetView showGridLines="0" zoomScaleNormal="100" workbookViewId="0">
      <selection activeCell="C35" sqref="C35"/>
    </sheetView>
  </sheetViews>
  <sheetFormatPr baseColWidth="10" defaultColWidth="11.42578125" defaultRowHeight="12.75" x14ac:dyDescent="0.2"/>
  <cols>
    <col min="1" max="1" width="5.5703125" style="81" customWidth="1"/>
    <col min="2" max="2" width="26.85546875" style="29" customWidth="1"/>
    <col min="3" max="3" width="7.7109375" style="81" bestFit="1" customWidth="1"/>
    <col min="4" max="4" width="28" style="29" customWidth="1"/>
    <col min="5" max="5" width="28.85546875" style="29" customWidth="1"/>
    <col min="6" max="6" width="15.5703125" style="29" customWidth="1"/>
    <col min="7" max="7" width="15.5703125" style="29" bestFit="1" customWidth="1"/>
    <col min="8" max="8" width="9.140625" style="29" customWidth="1"/>
    <col min="9" max="9" width="9" style="29" bestFit="1" customWidth="1"/>
    <col min="10" max="10" width="11.42578125" style="29"/>
    <col min="11" max="11" width="20.85546875" style="29" customWidth="1"/>
    <col min="12" max="16384" width="11.42578125" style="29"/>
  </cols>
  <sheetData>
    <row r="1" spans="2:12" x14ac:dyDescent="0.2">
      <c r="B1" s="28"/>
      <c r="C1" s="28"/>
    </row>
    <row r="2" spans="2:12" ht="6.75" customHeight="1" x14ac:dyDescent="0.2">
      <c r="B2" s="30"/>
      <c r="C2" s="30"/>
    </row>
    <row r="3" spans="2:12" x14ac:dyDescent="0.2">
      <c r="B3" s="28"/>
      <c r="C3" s="28"/>
    </row>
    <row r="4" spans="2:12" ht="7.5" customHeight="1" thickBot="1" x14ac:dyDescent="0.25">
      <c r="B4" s="30"/>
      <c r="C4" s="30"/>
    </row>
    <row r="5" spans="2:12" ht="30.75" customHeight="1" x14ac:dyDescent="0.2">
      <c r="B5" s="31"/>
      <c r="C5" s="31"/>
      <c r="K5" s="331" t="s">
        <v>298</v>
      </c>
      <c r="L5" s="332"/>
    </row>
    <row r="6" spans="2:12" ht="7.5" customHeight="1" thickBot="1" x14ac:dyDescent="0.25">
      <c r="B6" s="30"/>
      <c r="C6" s="30"/>
      <c r="K6" s="63"/>
      <c r="L6" s="64"/>
    </row>
    <row r="7" spans="2:12" ht="15.75" thickBot="1" x14ac:dyDescent="0.25">
      <c r="B7" s="28"/>
      <c r="C7" s="28"/>
      <c r="K7" s="112" t="s">
        <v>321</v>
      </c>
      <c r="L7" s="104">
        <v>2</v>
      </c>
    </row>
    <row r="8" spans="2:12" ht="6.75" customHeight="1" x14ac:dyDescent="0.2">
      <c r="B8" s="30"/>
      <c r="C8" s="30"/>
    </row>
    <row r="9" spans="2:12" x14ac:dyDescent="0.2">
      <c r="B9" s="28"/>
      <c r="C9" s="28"/>
    </row>
    <row r="10" spans="2:12" ht="8.25" customHeight="1" x14ac:dyDescent="0.2">
      <c r="B10" s="30"/>
      <c r="C10" s="30"/>
    </row>
    <row r="11" spans="2:12" ht="23.25" customHeight="1" x14ac:dyDescent="0.2">
      <c r="B11" s="28"/>
      <c r="C11" s="28"/>
      <c r="E11" s="28"/>
    </row>
    <row r="12" spans="2:12" ht="23.25" customHeight="1" x14ac:dyDescent="0.2">
      <c r="E12" s="28"/>
    </row>
    <row r="13" spans="2:12" ht="28.5" x14ac:dyDescent="0.2">
      <c r="D13" s="65"/>
      <c r="E13" s="66" t="s">
        <v>306</v>
      </c>
      <c r="F13" s="65"/>
    </row>
    <row r="14" spans="2:12" ht="28.5" x14ac:dyDescent="0.25">
      <c r="B14" s="33"/>
      <c r="C14" s="82"/>
      <c r="D14" s="67"/>
      <c r="E14" s="68" t="str">
        <f ca="1">TEXT(D16,"mmmm")&amp;" "&amp; YEAR(D16)</f>
        <v>juin 2019</v>
      </c>
      <c r="F14" s="67"/>
      <c r="G14" s="34"/>
      <c r="H14" s="35"/>
      <c r="I14" s="35"/>
      <c r="J14" s="35"/>
      <c r="K14" s="33"/>
      <c r="L14" s="33"/>
    </row>
    <row r="15" spans="2:12" ht="28.5" x14ac:dyDescent="0.45">
      <c r="B15" s="33"/>
      <c r="C15" s="82"/>
      <c r="D15" s="69"/>
      <c r="E15" s="70" t="s">
        <v>323</v>
      </c>
      <c r="F15" s="69"/>
      <c r="G15" s="36"/>
      <c r="H15" s="35"/>
      <c r="I15" s="35"/>
      <c r="J15" s="35"/>
      <c r="K15" s="33"/>
      <c r="L15" s="33"/>
    </row>
    <row r="16" spans="2:12" ht="15.75" x14ac:dyDescent="0.25">
      <c r="B16" s="33"/>
      <c r="C16" s="82"/>
      <c r="D16" s="37">
        <f ca="1">TODAY()</f>
        <v>43622</v>
      </c>
      <c r="E16" s="36"/>
      <c r="F16" s="36"/>
      <c r="G16" s="36"/>
      <c r="H16" s="35"/>
      <c r="I16" s="35"/>
      <c r="J16" s="35"/>
      <c r="K16" s="33"/>
      <c r="L16" s="33"/>
    </row>
    <row r="17" spans="1:12" ht="45" customHeight="1" thickBot="1" x14ac:dyDescent="0.3">
      <c r="A17" s="94" t="s">
        <v>308</v>
      </c>
      <c r="B17" s="41" t="s">
        <v>309</v>
      </c>
      <c r="C17" s="42" t="s">
        <v>231</v>
      </c>
      <c r="D17" s="43" t="s">
        <v>310</v>
      </c>
      <c r="E17" s="43" t="s">
        <v>311</v>
      </c>
      <c r="F17" s="62" t="s">
        <v>141</v>
      </c>
      <c r="G17" s="62" t="s">
        <v>312</v>
      </c>
      <c r="H17" s="62" t="s">
        <v>313</v>
      </c>
      <c r="I17" s="62" t="s">
        <v>314</v>
      </c>
      <c r="J17" s="33"/>
      <c r="K17" s="33"/>
      <c r="L17" s="33"/>
    </row>
    <row r="18" spans="1:12" ht="77.25" thickBot="1" x14ac:dyDescent="1.1499999999999999">
      <c r="A18" s="44">
        <v>1</v>
      </c>
      <c r="B18" s="56" t="s">
        <v>42</v>
      </c>
      <c r="C18" s="46">
        <v>100</v>
      </c>
      <c r="D18" s="110"/>
      <c r="E18" s="111"/>
      <c r="F18" s="105"/>
      <c r="G18" s="106"/>
      <c r="H18" s="107"/>
      <c r="I18" s="87"/>
      <c r="J18" s="33"/>
      <c r="L18" s="33"/>
    </row>
    <row r="19" spans="1:12" ht="77.25" thickBot="1" x14ac:dyDescent="1.1499999999999999">
      <c r="A19" s="44">
        <v>2</v>
      </c>
      <c r="B19" s="56" t="s">
        <v>43</v>
      </c>
      <c r="C19" s="46">
        <v>100</v>
      </c>
      <c r="D19" s="110"/>
      <c r="E19" s="111"/>
      <c r="F19" s="105"/>
      <c r="G19" s="106"/>
      <c r="H19" s="107"/>
      <c r="I19" s="87"/>
      <c r="J19" s="33"/>
      <c r="L19" s="33"/>
    </row>
    <row r="20" spans="1:12" ht="69" customHeight="1" thickBot="1" x14ac:dyDescent="1.1499999999999999">
      <c r="A20" s="44">
        <v>3</v>
      </c>
      <c r="B20" s="56" t="s">
        <v>44</v>
      </c>
      <c r="C20" s="46">
        <v>100</v>
      </c>
      <c r="D20" s="110"/>
      <c r="E20" s="111"/>
      <c r="F20" s="105"/>
      <c r="G20" s="106"/>
      <c r="H20" s="107"/>
      <c r="I20" s="87"/>
      <c r="J20" s="33"/>
      <c r="K20" s="39"/>
      <c r="L20" s="33"/>
    </row>
    <row r="21" spans="1:12" ht="77.25" thickBot="1" x14ac:dyDescent="1.1499999999999999">
      <c r="A21" s="44">
        <v>4</v>
      </c>
      <c r="B21" s="56" t="s">
        <v>45</v>
      </c>
      <c r="C21" s="46">
        <v>100</v>
      </c>
      <c r="D21" s="110"/>
      <c r="E21" s="111"/>
      <c r="F21" s="105"/>
      <c r="G21" s="106"/>
      <c r="H21" s="107"/>
      <c r="I21" s="87"/>
      <c r="J21" s="33"/>
      <c r="K21" s="39"/>
      <c r="L21" s="33"/>
    </row>
    <row r="22" spans="1:12" ht="82.5" customHeight="1" thickBot="1" x14ac:dyDescent="1.1499999999999999">
      <c r="A22" s="44">
        <v>5</v>
      </c>
      <c r="B22" s="56" t="s">
        <v>46</v>
      </c>
      <c r="C22" s="46">
        <v>100</v>
      </c>
      <c r="D22" s="110"/>
      <c r="E22" s="111"/>
      <c r="F22" s="105"/>
      <c r="G22" s="106"/>
      <c r="H22" s="107"/>
      <c r="I22" s="87"/>
      <c r="J22" s="33"/>
      <c r="K22" s="39"/>
      <c r="L22" s="33"/>
    </row>
    <row r="23" spans="1:12" ht="77.25" thickBot="1" x14ac:dyDescent="1.1499999999999999">
      <c r="A23" s="44">
        <v>6</v>
      </c>
      <c r="B23" s="45" t="s">
        <v>47</v>
      </c>
      <c r="C23" s="46">
        <v>100</v>
      </c>
      <c r="D23" s="110"/>
      <c r="E23" s="111"/>
      <c r="F23" s="105"/>
      <c r="G23" s="106"/>
      <c r="H23" s="107"/>
      <c r="I23" s="87"/>
      <c r="J23" s="33"/>
      <c r="K23" s="39"/>
      <c r="L23" s="33"/>
    </row>
    <row r="24" spans="1:12" ht="72.75" customHeight="1" thickBot="1" x14ac:dyDescent="1.1499999999999999">
      <c r="A24" s="44">
        <v>7</v>
      </c>
      <c r="B24" s="56" t="s">
        <v>49</v>
      </c>
      <c r="C24" s="46">
        <v>100</v>
      </c>
      <c r="D24" s="110"/>
      <c r="E24" s="111"/>
      <c r="F24" s="105"/>
      <c r="G24" s="106"/>
      <c r="H24" s="107"/>
      <c r="I24" s="87"/>
      <c r="J24" s="33"/>
      <c r="K24" s="39"/>
      <c r="L24" s="33"/>
    </row>
    <row r="25" spans="1:12" ht="77.25" thickBot="1" x14ac:dyDescent="1.1499999999999999">
      <c r="A25" s="44">
        <v>8</v>
      </c>
      <c r="B25" s="45" t="s">
        <v>50</v>
      </c>
      <c r="C25" s="46">
        <v>100</v>
      </c>
      <c r="D25" s="110"/>
      <c r="E25" s="111"/>
      <c r="F25" s="105"/>
      <c r="G25" s="106"/>
      <c r="H25" s="107"/>
      <c r="I25" s="87"/>
      <c r="J25" s="33"/>
      <c r="K25" s="39"/>
      <c r="L25" s="33"/>
    </row>
    <row r="26" spans="1:12" ht="77.25" thickBot="1" x14ac:dyDescent="1.1499999999999999">
      <c r="A26" s="44">
        <v>9</v>
      </c>
      <c r="B26" s="45" t="s">
        <v>51</v>
      </c>
      <c r="C26" s="46">
        <v>100</v>
      </c>
      <c r="D26" s="110"/>
      <c r="E26" s="111"/>
      <c r="F26" s="105"/>
      <c r="G26" s="106"/>
      <c r="H26" s="107"/>
      <c r="I26" s="87"/>
      <c r="J26" s="33"/>
      <c r="K26" s="39"/>
      <c r="L26" s="33"/>
    </row>
    <row r="27" spans="1:12" ht="77.25" thickBot="1" x14ac:dyDescent="1.1499999999999999">
      <c r="A27" s="44">
        <v>10</v>
      </c>
      <c r="B27" s="45" t="s">
        <v>96</v>
      </c>
      <c r="C27" s="46">
        <v>100</v>
      </c>
      <c r="D27" s="110"/>
      <c r="E27" s="111"/>
      <c r="F27" s="105"/>
      <c r="G27" s="106"/>
      <c r="H27" s="107"/>
      <c r="I27" s="87"/>
      <c r="J27" s="33"/>
      <c r="K27" s="39"/>
      <c r="L27" s="33"/>
    </row>
    <row r="28" spans="1:12" ht="76.5" x14ac:dyDescent="1.1000000000000001">
      <c r="A28" s="44">
        <v>11</v>
      </c>
      <c r="B28" s="51" t="s">
        <v>53</v>
      </c>
      <c r="C28" s="46">
        <v>100</v>
      </c>
      <c r="D28" s="110"/>
      <c r="E28" s="111"/>
      <c r="F28" s="105"/>
      <c r="G28" s="108"/>
      <c r="H28" s="109"/>
      <c r="I28" s="90"/>
      <c r="J28" s="33"/>
      <c r="K28" s="39"/>
      <c r="L28" s="33"/>
    </row>
    <row r="29" spans="1:12" x14ac:dyDescent="0.2">
      <c r="A29" s="83"/>
      <c r="B29" s="65"/>
      <c r="C29" s="83"/>
      <c r="D29" s="65"/>
      <c r="E29" s="65"/>
      <c r="F29" s="65"/>
      <c r="G29" s="65"/>
      <c r="H29" s="65"/>
      <c r="I29" s="65"/>
    </row>
    <row r="30" spans="1:12" ht="19.5" thickBot="1" x14ac:dyDescent="0.35">
      <c r="A30" s="83"/>
      <c r="B30" s="65"/>
      <c r="C30" s="83"/>
      <c r="D30" s="71"/>
      <c r="E30" s="322" t="s">
        <v>315</v>
      </c>
      <c r="F30" s="322"/>
      <c r="G30" s="322" t="s">
        <v>316</v>
      </c>
      <c r="H30" s="322"/>
      <c r="I30" s="322"/>
    </row>
    <row r="31" spans="1:12" x14ac:dyDescent="0.2">
      <c r="A31" s="83"/>
      <c r="B31" s="65"/>
      <c r="C31" s="83"/>
      <c r="D31" s="313" t="s">
        <v>317</v>
      </c>
      <c r="E31" s="323" t="s">
        <v>318</v>
      </c>
      <c r="F31" s="324"/>
      <c r="G31" s="323"/>
      <c r="H31" s="327"/>
      <c r="I31" s="324"/>
    </row>
    <row r="32" spans="1:12" ht="13.5" thickBot="1" x14ac:dyDescent="0.25">
      <c r="A32" s="83"/>
      <c r="B32" s="65"/>
      <c r="C32" s="83"/>
      <c r="D32" s="313"/>
      <c r="E32" s="325"/>
      <c r="F32" s="326"/>
      <c r="G32" s="325"/>
      <c r="H32" s="328"/>
      <c r="I32" s="326"/>
    </row>
    <row r="33" spans="1:12" ht="16.5" thickBot="1" x14ac:dyDescent="0.3">
      <c r="A33" s="83"/>
      <c r="B33" s="65"/>
      <c r="C33" s="83"/>
      <c r="D33" s="71"/>
      <c r="E33" s="71"/>
      <c r="F33" s="71"/>
      <c r="G33" s="71"/>
      <c r="H33" s="71"/>
      <c r="I33" s="71"/>
    </row>
    <row r="34" spans="1:12" x14ac:dyDescent="0.2">
      <c r="A34" s="83"/>
      <c r="B34" s="65"/>
      <c r="C34" s="83"/>
      <c r="D34" s="313" t="s">
        <v>319</v>
      </c>
      <c r="E34" s="314" t="str">
        <f>IF(SUM(F10:F28)=0,"",SUM(F10:F28))</f>
        <v/>
      </c>
      <c r="F34" s="315"/>
      <c r="G34" s="314"/>
      <c r="H34" s="318"/>
      <c r="I34" s="315"/>
    </row>
    <row r="35" spans="1:12" ht="16.5" thickBot="1" x14ac:dyDescent="0.3">
      <c r="A35" s="83"/>
      <c r="B35" s="71"/>
      <c r="C35" s="84"/>
      <c r="D35" s="313"/>
      <c r="E35" s="316"/>
      <c r="F35" s="317"/>
      <c r="G35" s="316"/>
      <c r="H35" s="319"/>
      <c r="I35" s="317"/>
      <c r="J35" s="33"/>
      <c r="K35" s="33"/>
      <c r="L35" s="33"/>
    </row>
    <row r="36" spans="1:12" ht="15.75" x14ac:dyDescent="0.25">
      <c r="B36" s="33"/>
      <c r="C36" s="82"/>
      <c r="D36" s="33"/>
      <c r="E36" s="33"/>
      <c r="F36" s="33"/>
      <c r="G36" s="33"/>
      <c r="H36" s="33"/>
      <c r="I36" s="33"/>
      <c r="J36" s="33"/>
      <c r="K36" s="33"/>
      <c r="L36" s="33"/>
    </row>
    <row r="37" spans="1:12" ht="15.75" x14ac:dyDescent="0.25">
      <c r="B37" s="33"/>
      <c r="C37" s="82"/>
      <c r="D37" s="33"/>
      <c r="E37" s="33"/>
      <c r="F37" s="33"/>
      <c r="G37" s="33"/>
      <c r="H37" s="33"/>
      <c r="I37" s="33"/>
      <c r="J37" s="33"/>
      <c r="K37" s="33"/>
      <c r="L37" s="33"/>
    </row>
    <row r="38" spans="1:12" ht="15.75" x14ac:dyDescent="0.25">
      <c r="B38" s="33"/>
      <c r="C38" s="82"/>
      <c r="D38" s="33"/>
      <c r="E38" s="33"/>
      <c r="F38" s="33"/>
      <c r="G38" s="33"/>
      <c r="H38" s="33"/>
      <c r="I38" s="33"/>
      <c r="J38" s="33"/>
      <c r="K38" s="33"/>
      <c r="L38" s="33"/>
    </row>
    <row r="39" spans="1:12" ht="15.75" x14ac:dyDescent="0.25">
      <c r="B39" s="33"/>
      <c r="C39" s="82"/>
      <c r="D39" s="33"/>
      <c r="E39" s="33"/>
      <c r="F39" s="33"/>
      <c r="G39" s="33"/>
      <c r="H39" s="33"/>
      <c r="I39" s="33"/>
      <c r="J39" s="33"/>
      <c r="K39" s="33"/>
      <c r="L39" s="33"/>
    </row>
    <row r="40" spans="1:12" ht="15.75" x14ac:dyDescent="0.25">
      <c r="B40" s="33"/>
      <c r="C40" s="82"/>
      <c r="D40" s="33"/>
      <c r="E40" s="33"/>
      <c r="F40" s="33"/>
      <c r="G40" s="33"/>
      <c r="H40" s="33"/>
      <c r="I40" s="33"/>
      <c r="J40" s="33"/>
      <c r="K40" s="33"/>
      <c r="L40" s="33"/>
    </row>
    <row r="41" spans="1:12" ht="15.75" x14ac:dyDescent="0.25">
      <c r="B41" s="33"/>
      <c r="C41" s="82"/>
      <c r="D41" s="33"/>
      <c r="E41" s="33"/>
      <c r="F41" s="33"/>
      <c r="G41" s="33"/>
      <c r="H41" s="33"/>
      <c r="I41" s="33"/>
      <c r="J41" s="33"/>
      <c r="K41" s="33"/>
      <c r="L41" s="33"/>
    </row>
    <row r="42" spans="1:12" ht="15.75" x14ac:dyDescent="0.25">
      <c r="B42" s="33"/>
      <c r="C42" s="82"/>
      <c r="D42" s="33"/>
      <c r="E42" s="33"/>
      <c r="F42" s="33"/>
      <c r="G42" s="33"/>
      <c r="H42" s="33"/>
      <c r="I42" s="33"/>
      <c r="J42" s="33"/>
      <c r="K42" s="33"/>
      <c r="L42" s="33"/>
    </row>
    <row r="43" spans="1:12" ht="15.75" x14ac:dyDescent="0.25">
      <c r="B43" s="33"/>
      <c r="C43" s="82"/>
      <c r="D43" s="33"/>
      <c r="E43" s="33"/>
      <c r="F43" s="33"/>
      <c r="G43" s="33"/>
      <c r="H43" s="33"/>
      <c r="I43" s="33"/>
      <c r="J43" s="33"/>
      <c r="K43" s="33"/>
      <c r="L43" s="33"/>
    </row>
    <row r="44" spans="1:12" ht="15.75" x14ac:dyDescent="0.25">
      <c r="B44" s="33"/>
      <c r="C44" s="82"/>
      <c r="D44" s="33"/>
      <c r="E44" s="33"/>
      <c r="F44" s="33"/>
      <c r="G44" s="33"/>
      <c r="H44" s="33"/>
      <c r="I44" s="33"/>
      <c r="J44" s="33"/>
      <c r="K44" s="33"/>
      <c r="L44" s="33"/>
    </row>
    <row r="45" spans="1:12" ht="15.75" x14ac:dyDescent="0.25">
      <c r="B45" s="33"/>
      <c r="C45" s="82"/>
      <c r="D45" s="33"/>
      <c r="E45" s="33"/>
      <c r="F45" s="33"/>
      <c r="G45" s="33"/>
      <c r="H45" s="33"/>
      <c r="I45" s="33"/>
      <c r="J45" s="33"/>
      <c r="K45" s="33"/>
      <c r="L45" s="33"/>
    </row>
    <row r="46" spans="1:12" ht="15.75" x14ac:dyDescent="0.25">
      <c r="B46" s="33"/>
      <c r="C46" s="82"/>
      <c r="D46" s="33"/>
      <c r="E46" s="33"/>
      <c r="F46" s="33"/>
      <c r="G46" s="33"/>
      <c r="H46" s="33"/>
      <c r="I46" s="33"/>
      <c r="J46" s="33"/>
      <c r="K46" s="33"/>
      <c r="L46" s="33"/>
    </row>
    <row r="47" spans="1:12" ht="15.75" x14ac:dyDescent="0.25">
      <c r="B47" s="33"/>
      <c r="C47" s="82"/>
      <c r="D47" s="33"/>
      <c r="E47" s="33"/>
      <c r="F47" s="33"/>
      <c r="G47" s="33"/>
      <c r="H47" s="33"/>
      <c r="I47" s="33"/>
      <c r="J47" s="33"/>
      <c r="K47" s="33"/>
      <c r="L47" s="33"/>
    </row>
    <row r="48" spans="1:12" ht="15.75" x14ac:dyDescent="0.25">
      <c r="B48" s="33"/>
      <c r="C48" s="82"/>
      <c r="D48" s="33"/>
      <c r="E48" s="33"/>
      <c r="F48" s="33"/>
      <c r="G48" s="33"/>
      <c r="H48" s="33"/>
      <c r="I48" s="33"/>
      <c r="J48" s="33"/>
      <c r="K48" s="33"/>
      <c r="L48" s="33"/>
    </row>
    <row r="49" spans="2:12" ht="15.75" x14ac:dyDescent="0.25">
      <c r="B49" s="33"/>
      <c r="C49" s="82"/>
      <c r="D49" s="33"/>
      <c r="E49" s="33"/>
      <c r="F49" s="33"/>
      <c r="G49" s="33"/>
      <c r="H49" s="33"/>
      <c r="I49" s="33"/>
      <c r="J49" s="33"/>
      <c r="K49" s="33"/>
      <c r="L49" s="33"/>
    </row>
    <row r="50" spans="2:12" ht="15.75" x14ac:dyDescent="0.25">
      <c r="B50" s="33"/>
      <c r="C50" s="82"/>
      <c r="D50" s="33"/>
      <c r="E50" s="33"/>
      <c r="F50" s="33"/>
      <c r="G50" s="33"/>
      <c r="H50" s="33"/>
      <c r="I50" s="33"/>
      <c r="J50" s="33"/>
      <c r="K50" s="33"/>
      <c r="L50" s="33"/>
    </row>
    <row r="51" spans="2:12" ht="15.75" x14ac:dyDescent="0.25">
      <c r="B51" s="33"/>
      <c r="C51" s="82"/>
      <c r="D51" s="33"/>
      <c r="E51" s="33"/>
      <c r="F51" s="33"/>
      <c r="G51" s="33"/>
      <c r="H51" s="33"/>
      <c r="I51" s="33"/>
      <c r="J51" s="33"/>
      <c r="K51" s="33"/>
      <c r="L51" s="33"/>
    </row>
    <row r="52" spans="2:12" ht="15.75" x14ac:dyDescent="0.25">
      <c r="B52" s="33"/>
      <c r="C52" s="82"/>
      <c r="D52" s="33"/>
      <c r="E52" s="33"/>
      <c r="F52" s="33"/>
      <c r="G52" s="33"/>
      <c r="H52" s="33"/>
      <c r="I52" s="33"/>
      <c r="J52" s="33"/>
      <c r="K52" s="33"/>
      <c r="L52" s="33"/>
    </row>
    <row r="53" spans="2:12" ht="15.75" x14ac:dyDescent="0.25">
      <c r="B53" s="33"/>
      <c r="C53" s="82"/>
      <c r="D53" s="33"/>
      <c r="E53" s="33"/>
      <c r="F53" s="33"/>
      <c r="G53" s="33"/>
      <c r="H53" s="33"/>
      <c r="I53" s="33"/>
      <c r="J53" s="33"/>
      <c r="K53" s="33"/>
      <c r="L53" s="33"/>
    </row>
    <row r="54" spans="2:12" ht="15.75" x14ac:dyDescent="0.25">
      <c r="B54" s="33"/>
      <c r="C54" s="82"/>
      <c r="D54" s="33"/>
      <c r="E54" s="33"/>
      <c r="F54" s="33"/>
      <c r="G54" s="33"/>
      <c r="H54" s="33"/>
      <c r="I54" s="33"/>
      <c r="J54" s="33"/>
      <c r="K54" s="33"/>
      <c r="L54" s="33"/>
    </row>
  </sheetData>
  <mergeCells count="9">
    <mergeCell ref="D34:D35"/>
    <mergeCell ref="E34:F35"/>
    <mergeCell ref="G34:I35"/>
    <mergeCell ref="K5:L5"/>
    <mergeCell ref="E30:F30"/>
    <mergeCell ref="G30:I30"/>
    <mergeCell ref="D31:D32"/>
    <mergeCell ref="E31:F32"/>
    <mergeCell ref="G31:I32"/>
  </mergeCells>
  <pageMargins left="0.39370078740157483" right="0.59055118110236227" top="0" bottom="0.74803149606299213" header="0" footer="0.31496062992125984"/>
  <pageSetup paperSize="9" scale="63" fitToHeight="0" orientation="portrait" horizontalDpi="300" verticalDpi="300" r:id="rId1"/>
  <headerFooter scaleWithDoc="0" alignWithMargins="0">
    <oddFooter>&amp;L&amp;"Garamond,Normal"&amp;8DIRECTION DE LA SOLDE&amp;C&amp;12&amp;P/&amp;N&amp;R&amp;"Garamond,Normal"&amp;8SERVICE CONTROLE DE GESTION</oddFoot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BD669-8CE7-4057-B91C-E6C7ABA1CD0C}">
  <sheetPr codeName="Feuil6">
    <tabColor theme="9" tint="0.59999389629810485"/>
    <pageSetUpPr fitToPage="1"/>
  </sheetPr>
  <dimension ref="A1:M57"/>
  <sheetViews>
    <sheetView showGridLines="0" workbookViewId="0"/>
  </sheetViews>
  <sheetFormatPr baseColWidth="10" defaultColWidth="11.42578125" defaultRowHeight="12.75" x14ac:dyDescent="0.2"/>
  <cols>
    <col min="1" max="1" width="5.5703125" style="28" customWidth="1"/>
    <col min="2" max="2" width="26.85546875" style="29" customWidth="1"/>
    <col min="3" max="3" width="29.7109375" style="29" customWidth="1"/>
    <col min="4" max="4" width="29.42578125" style="29" customWidth="1"/>
    <col min="5" max="5" width="15.5703125" style="29" customWidth="1"/>
    <col min="6" max="6" width="15.5703125" style="29" bestFit="1" customWidth="1"/>
    <col min="7" max="7" width="9.140625" style="29" customWidth="1"/>
    <col min="8" max="8" width="9" style="29" bestFit="1" customWidth="1"/>
    <col min="9" max="9" width="11.42578125" style="29"/>
    <col min="10" max="10" width="11.42578125" style="29" customWidth="1"/>
    <col min="11" max="11" width="18" style="29" customWidth="1"/>
    <col min="12" max="16384" width="11.42578125" style="29"/>
  </cols>
  <sheetData>
    <row r="1" spans="2:12" x14ac:dyDescent="0.2">
      <c r="B1" s="28"/>
    </row>
    <row r="2" spans="2:12" ht="6.75" customHeight="1" x14ac:dyDescent="0.2">
      <c r="B2" s="30"/>
    </row>
    <row r="3" spans="2:12" x14ac:dyDescent="0.2">
      <c r="B3" s="28"/>
    </row>
    <row r="4" spans="2:12" ht="7.5" customHeight="1" thickBot="1" x14ac:dyDescent="0.25">
      <c r="B4" s="30"/>
    </row>
    <row r="5" spans="2:12" ht="30.75" customHeight="1" thickBot="1" x14ac:dyDescent="0.25">
      <c r="B5" s="31"/>
      <c r="K5" s="333" t="s">
        <v>298</v>
      </c>
      <c r="L5" s="334"/>
    </row>
    <row r="6" spans="2:12" ht="7.5" customHeight="1" thickBot="1" x14ac:dyDescent="0.25">
      <c r="B6" s="30"/>
      <c r="K6" s="63"/>
      <c r="L6" s="64"/>
    </row>
    <row r="7" spans="2:12" ht="15.75" thickBot="1" x14ac:dyDescent="0.25">
      <c r="B7" s="28"/>
      <c r="K7" s="102" t="s">
        <v>321</v>
      </c>
      <c r="L7" s="104">
        <v>2</v>
      </c>
    </row>
    <row r="8" spans="2:12" ht="6.75" customHeight="1" x14ac:dyDescent="0.2">
      <c r="B8" s="30"/>
    </row>
    <row r="9" spans="2:12" x14ac:dyDescent="0.2">
      <c r="B9" s="28"/>
    </row>
    <row r="10" spans="2:12" ht="8.25" customHeight="1" x14ac:dyDescent="0.2">
      <c r="B10" s="30"/>
    </row>
    <row r="11" spans="2:12" ht="23.25" customHeight="1" x14ac:dyDescent="0.2">
      <c r="B11" s="28"/>
      <c r="D11" s="28"/>
    </row>
    <row r="12" spans="2:12" ht="23.25" customHeight="1" x14ac:dyDescent="0.2">
      <c r="D12" s="28"/>
    </row>
    <row r="13" spans="2:12" ht="28.5" x14ac:dyDescent="0.2">
      <c r="C13" s="65"/>
      <c r="D13" s="66" t="s">
        <v>324</v>
      </c>
      <c r="E13" s="65"/>
    </row>
    <row r="14" spans="2:12" ht="28.5" x14ac:dyDescent="0.25">
      <c r="B14" s="33"/>
      <c r="C14" s="67"/>
      <c r="D14" s="68" t="str">
        <f ca="1">TEXT(C16,"mmmm")&amp;" "&amp; YEAR(C16)</f>
        <v>juin 2019</v>
      </c>
      <c r="E14" s="67"/>
      <c r="F14" s="34"/>
      <c r="G14" s="35"/>
      <c r="H14" s="35"/>
      <c r="I14" s="35"/>
      <c r="J14" s="33"/>
      <c r="K14" s="33"/>
    </row>
    <row r="15" spans="2:12" ht="28.5" x14ac:dyDescent="0.45">
      <c r="B15" s="33"/>
      <c r="C15" s="69"/>
      <c r="D15" s="70" t="s">
        <v>325</v>
      </c>
      <c r="E15" s="69"/>
      <c r="F15" s="36"/>
      <c r="G15" s="35"/>
      <c r="H15" s="35"/>
      <c r="I15" s="35"/>
      <c r="J15" s="33"/>
      <c r="K15" s="33"/>
    </row>
    <row r="16" spans="2:12" ht="15.75" x14ac:dyDescent="0.25">
      <c r="B16" s="33"/>
      <c r="C16" s="37">
        <f ca="1">TODAY()</f>
        <v>43622</v>
      </c>
      <c r="D16" s="36"/>
      <c r="E16" s="36"/>
      <c r="F16" s="36"/>
      <c r="G16" s="35"/>
      <c r="H16" s="35"/>
      <c r="I16" s="35"/>
      <c r="J16" s="33"/>
      <c r="K16" s="33"/>
    </row>
    <row r="17" spans="1:13" ht="45" customHeight="1" thickBot="1" x14ac:dyDescent="0.3">
      <c r="A17" s="40" t="s">
        <v>308</v>
      </c>
      <c r="B17" s="41" t="s">
        <v>326</v>
      </c>
      <c r="C17" s="43" t="s">
        <v>310</v>
      </c>
      <c r="D17" s="43" t="s">
        <v>311</v>
      </c>
      <c r="E17" s="62" t="s">
        <v>141</v>
      </c>
      <c r="F17" s="62" t="s">
        <v>312</v>
      </c>
      <c r="G17" s="62" t="s">
        <v>313</v>
      </c>
      <c r="H17" s="62" t="s">
        <v>314</v>
      </c>
      <c r="I17" s="33"/>
      <c r="J17" s="33"/>
      <c r="K17" s="33"/>
    </row>
    <row r="18" spans="1:13" ht="77.25" thickBot="1" x14ac:dyDescent="1.1499999999999999">
      <c r="A18" s="44">
        <v>1</v>
      </c>
      <c r="B18" s="56" t="s">
        <v>54</v>
      </c>
      <c r="C18" s="117"/>
      <c r="D18" s="117"/>
      <c r="E18" s="38"/>
      <c r="F18" s="106"/>
      <c r="G18" s="107"/>
      <c r="H18" s="87"/>
      <c r="I18" s="33"/>
      <c r="J18" s="39"/>
      <c r="K18" s="33"/>
    </row>
    <row r="19" spans="1:13" ht="77.25" thickBot="1" x14ac:dyDescent="1.1499999999999999">
      <c r="A19" s="44">
        <v>2</v>
      </c>
      <c r="B19" s="56">
        <v>107</v>
      </c>
      <c r="C19" s="117"/>
      <c r="D19" s="117"/>
      <c r="E19" s="38"/>
      <c r="F19" s="106"/>
      <c r="G19" s="107"/>
      <c r="H19" s="87"/>
      <c r="I19" s="33"/>
      <c r="J19" s="39"/>
      <c r="K19" s="33"/>
    </row>
    <row r="20" spans="1:13" ht="77.25" thickBot="1" x14ac:dyDescent="1.1499999999999999">
      <c r="A20" s="44">
        <v>3</v>
      </c>
      <c r="B20" s="56">
        <v>184</v>
      </c>
      <c r="C20" s="117"/>
      <c r="D20" s="117"/>
      <c r="E20" s="38"/>
      <c r="F20" s="106"/>
      <c r="G20" s="107"/>
      <c r="H20" s="87"/>
      <c r="I20" s="33"/>
      <c r="J20" s="39"/>
      <c r="K20" s="33"/>
    </row>
    <row r="21" spans="1:13" ht="92.25" thickBot="1" x14ac:dyDescent="1.1499999999999999">
      <c r="A21" s="44">
        <v>4</v>
      </c>
      <c r="B21" s="56">
        <v>187</v>
      </c>
      <c r="C21" s="117"/>
      <c r="D21" s="117"/>
      <c r="E21" s="38"/>
      <c r="F21" s="106"/>
      <c r="G21" s="107"/>
      <c r="H21" s="87"/>
      <c r="I21" s="33"/>
      <c r="J21" s="337" t="s">
        <v>327</v>
      </c>
      <c r="K21" s="338"/>
      <c r="L21" s="161" t="s">
        <v>328</v>
      </c>
      <c r="M21" s="162"/>
    </row>
    <row r="22" spans="1:13" ht="77.25" thickBot="1" x14ac:dyDescent="1.1499999999999999">
      <c r="A22" s="44">
        <v>5</v>
      </c>
      <c r="B22" s="56">
        <v>188</v>
      </c>
      <c r="C22" s="117"/>
      <c r="D22" s="117"/>
      <c r="E22" s="38"/>
      <c r="F22" s="106"/>
      <c r="G22" s="107"/>
      <c r="H22" s="87"/>
      <c r="I22" s="33"/>
      <c r="J22" s="39"/>
      <c r="K22" s="33"/>
    </row>
    <row r="23" spans="1:13" ht="77.25" thickBot="1" x14ac:dyDescent="1.1499999999999999">
      <c r="A23" s="44">
        <v>6</v>
      </c>
      <c r="B23" s="56">
        <v>189</v>
      </c>
      <c r="C23" s="117"/>
      <c r="D23" s="117"/>
      <c r="E23" s="38"/>
      <c r="F23" s="106"/>
      <c r="G23" s="107"/>
      <c r="H23" s="87"/>
      <c r="I23" s="33"/>
      <c r="J23" s="33"/>
      <c r="K23" s="33"/>
    </row>
    <row r="24" spans="1:13" ht="77.25" thickBot="1" x14ac:dyDescent="1.1499999999999999">
      <c r="A24" s="44">
        <v>7</v>
      </c>
      <c r="B24" s="56">
        <v>190</v>
      </c>
      <c r="C24" s="117"/>
      <c r="D24" s="117"/>
      <c r="E24" s="38"/>
      <c r="F24" s="106"/>
      <c r="G24" s="107"/>
      <c r="H24" s="87"/>
      <c r="I24" s="33"/>
      <c r="J24" s="33"/>
      <c r="K24" s="33"/>
    </row>
    <row r="25" spans="1:13" ht="92.25" thickBot="1" x14ac:dyDescent="1.1499999999999999">
      <c r="A25" s="44">
        <v>8</v>
      </c>
      <c r="B25" s="56">
        <v>191</v>
      </c>
      <c r="C25" s="117"/>
      <c r="D25" s="117"/>
      <c r="E25" s="38"/>
      <c r="F25" s="106"/>
      <c r="G25" s="107"/>
      <c r="H25" s="87"/>
      <c r="I25" s="33"/>
      <c r="J25" s="335" t="s">
        <v>329</v>
      </c>
      <c r="K25" s="336"/>
      <c r="L25" s="161" t="s">
        <v>328</v>
      </c>
      <c r="M25" s="162"/>
    </row>
    <row r="26" spans="1:13" ht="76.5" x14ac:dyDescent="1.1000000000000001">
      <c r="A26" s="44">
        <v>9</v>
      </c>
      <c r="B26" s="56">
        <v>192</v>
      </c>
      <c r="C26" s="118"/>
      <c r="D26" s="118"/>
      <c r="E26" s="38"/>
      <c r="F26" s="106"/>
      <c r="G26" s="107"/>
      <c r="H26" s="87"/>
      <c r="I26" s="33"/>
      <c r="J26" s="33"/>
      <c r="K26" s="33"/>
    </row>
    <row r="27" spans="1:13" ht="76.5" x14ac:dyDescent="1.1000000000000001">
      <c r="A27" s="44">
        <v>10</v>
      </c>
      <c r="B27" s="99">
        <v>193</v>
      </c>
      <c r="C27" s="119"/>
      <c r="D27" s="119"/>
      <c r="E27" s="38"/>
      <c r="F27" s="108"/>
      <c r="G27" s="109"/>
      <c r="H27" s="87"/>
      <c r="I27" s="33"/>
      <c r="J27" s="33"/>
      <c r="K27" s="33"/>
    </row>
    <row r="28" spans="1:13" ht="77.25" thickBot="1" x14ac:dyDescent="1.1499999999999999">
      <c r="A28" s="44">
        <v>11</v>
      </c>
      <c r="B28" s="115">
        <v>194</v>
      </c>
      <c r="C28" s="116"/>
      <c r="D28" s="116"/>
      <c r="E28" s="38"/>
      <c r="F28" s="113"/>
      <c r="G28" s="114"/>
      <c r="H28" s="87"/>
      <c r="I28" s="33"/>
      <c r="J28" s="33"/>
      <c r="K28" s="33"/>
    </row>
    <row r="29" spans="1:13" ht="77.25" thickBot="1" x14ac:dyDescent="1.1499999999999999">
      <c r="A29" s="44">
        <v>12</v>
      </c>
      <c r="B29" s="56">
        <v>195</v>
      </c>
      <c r="C29" s="117"/>
      <c r="D29" s="117"/>
      <c r="E29" s="38"/>
      <c r="F29" s="106"/>
      <c r="G29" s="107"/>
      <c r="H29" s="87"/>
      <c r="I29" s="33"/>
      <c r="J29" s="33"/>
      <c r="K29" s="33"/>
    </row>
    <row r="30" spans="1:13" ht="77.25" thickBot="1" x14ac:dyDescent="1.1499999999999999">
      <c r="A30" s="44">
        <v>13</v>
      </c>
      <c r="B30" s="56">
        <v>198</v>
      </c>
      <c r="C30" s="117"/>
      <c r="D30" s="117"/>
      <c r="E30" s="38"/>
      <c r="F30" s="106"/>
      <c r="G30" s="107"/>
      <c r="H30" s="87"/>
      <c r="I30" s="33"/>
      <c r="J30" s="33"/>
      <c r="K30" s="33"/>
    </row>
    <row r="31" spans="1:13" ht="76.5" x14ac:dyDescent="1.1000000000000001">
      <c r="A31" s="44">
        <v>14</v>
      </c>
      <c r="B31" s="99">
        <v>199</v>
      </c>
      <c r="C31" s="117"/>
      <c r="D31" s="117"/>
      <c r="E31" s="38"/>
      <c r="F31" s="108"/>
      <c r="G31" s="109"/>
      <c r="H31" s="90"/>
      <c r="I31" s="33"/>
      <c r="J31" s="33"/>
      <c r="K31" s="33"/>
    </row>
    <row r="32" spans="1:13" ht="15.75" x14ac:dyDescent="0.25">
      <c r="A32" s="103"/>
      <c r="B32" s="71"/>
      <c r="C32" s="71"/>
      <c r="D32" s="71"/>
      <c r="E32" s="71"/>
      <c r="F32" s="71"/>
      <c r="G32" s="71"/>
      <c r="H32" s="71"/>
      <c r="I32" s="33"/>
      <c r="J32" s="33"/>
      <c r="K32" s="33"/>
    </row>
    <row r="33" spans="1:11" ht="15.75" customHeight="1" thickBot="1" x14ac:dyDescent="0.35">
      <c r="A33" s="103"/>
      <c r="B33" s="71"/>
      <c r="C33" s="71"/>
      <c r="D33" s="322" t="s">
        <v>315</v>
      </c>
      <c r="E33" s="322"/>
      <c r="F33" s="322" t="s">
        <v>316</v>
      </c>
      <c r="G33" s="322"/>
      <c r="H33" s="322"/>
      <c r="I33" s="33"/>
      <c r="J33" s="33"/>
      <c r="K33" s="33"/>
    </row>
    <row r="34" spans="1:11" ht="16.5" customHeight="1" x14ac:dyDescent="0.25">
      <c r="A34" s="103"/>
      <c r="B34" s="71"/>
      <c r="C34" s="313" t="s">
        <v>317</v>
      </c>
      <c r="D34" s="323" t="s">
        <v>318</v>
      </c>
      <c r="E34" s="324"/>
      <c r="F34" s="323"/>
      <c r="G34" s="327"/>
      <c r="H34" s="324"/>
      <c r="I34" s="33"/>
      <c r="J34" s="33"/>
      <c r="K34" s="33"/>
    </row>
    <row r="35" spans="1:11" ht="16.5" thickBot="1" x14ac:dyDescent="0.3">
      <c r="A35" s="103"/>
      <c r="B35" s="71"/>
      <c r="C35" s="313"/>
      <c r="D35" s="325"/>
      <c r="E35" s="326"/>
      <c r="F35" s="325"/>
      <c r="G35" s="328"/>
      <c r="H35" s="326"/>
      <c r="I35" s="33"/>
      <c r="J35" s="33"/>
      <c r="K35" s="33"/>
    </row>
    <row r="36" spans="1:11" ht="15.75" customHeight="1" thickBot="1" x14ac:dyDescent="0.3">
      <c r="A36" s="103"/>
      <c r="B36" s="71"/>
      <c r="C36" s="71"/>
      <c r="D36" s="71"/>
      <c r="E36" s="71"/>
      <c r="F36" s="71"/>
      <c r="G36" s="71"/>
      <c r="H36" s="71"/>
      <c r="I36" s="33"/>
      <c r="J36" s="33"/>
      <c r="K36" s="33"/>
    </row>
    <row r="37" spans="1:11" ht="16.5" customHeight="1" x14ac:dyDescent="0.25">
      <c r="A37" s="103"/>
      <c r="B37" s="71"/>
      <c r="C37" s="313" t="s">
        <v>319</v>
      </c>
      <c r="D37" s="314" t="str">
        <f>IF(SUM(E13:E31)=0,"",SUM(E13:E31))</f>
        <v/>
      </c>
      <c r="E37" s="315"/>
      <c r="F37" s="314"/>
      <c r="G37" s="318"/>
      <c r="H37" s="315"/>
      <c r="I37" s="33"/>
      <c r="J37" s="33"/>
      <c r="K37" s="33"/>
    </row>
    <row r="38" spans="1:11" ht="16.5" thickBot="1" x14ac:dyDescent="0.3">
      <c r="A38" s="103"/>
      <c r="B38" s="71"/>
      <c r="C38" s="313"/>
      <c r="D38" s="316"/>
      <c r="E38" s="317"/>
      <c r="F38" s="316"/>
      <c r="G38" s="319"/>
      <c r="H38" s="317"/>
      <c r="I38" s="33"/>
      <c r="J38" s="33"/>
      <c r="K38" s="33"/>
    </row>
    <row r="39" spans="1:11" ht="15.75" x14ac:dyDescent="0.25">
      <c r="B39" s="33"/>
      <c r="C39" s="33"/>
      <c r="D39" s="33"/>
      <c r="E39" s="33"/>
      <c r="F39" s="33"/>
      <c r="G39" s="33"/>
      <c r="H39" s="33"/>
      <c r="I39" s="33"/>
      <c r="J39" s="33"/>
      <c r="K39" s="33"/>
    </row>
    <row r="40" spans="1:11" ht="15.75" x14ac:dyDescent="0.25">
      <c r="B40" s="33"/>
      <c r="C40" s="33"/>
      <c r="D40" s="33"/>
      <c r="E40" s="33"/>
      <c r="F40" s="33"/>
      <c r="G40" s="33"/>
      <c r="H40" s="33"/>
      <c r="I40" s="33"/>
      <c r="J40" s="33"/>
      <c r="K40" s="33"/>
    </row>
    <row r="41" spans="1:11" ht="15.75" x14ac:dyDescent="0.25">
      <c r="B41" s="33"/>
      <c r="C41" s="33"/>
      <c r="D41" s="33"/>
      <c r="E41" s="33"/>
      <c r="F41" s="33"/>
      <c r="G41" s="33"/>
      <c r="H41" s="33"/>
      <c r="I41" s="33"/>
      <c r="J41" s="33"/>
      <c r="K41" s="33"/>
    </row>
    <row r="42" spans="1:11" ht="15.75" x14ac:dyDescent="0.25">
      <c r="B42" s="33"/>
      <c r="C42" s="33"/>
      <c r="D42" s="33"/>
      <c r="E42" s="33"/>
      <c r="F42" s="33"/>
      <c r="G42" s="33"/>
      <c r="H42" s="33"/>
      <c r="I42" s="33"/>
      <c r="J42" s="33"/>
      <c r="K42" s="33"/>
    </row>
    <row r="43" spans="1:11" ht="15.75" x14ac:dyDescent="0.25">
      <c r="B43" s="33"/>
      <c r="C43" s="33"/>
      <c r="D43" s="33"/>
      <c r="E43" s="33"/>
      <c r="F43" s="33"/>
      <c r="G43" s="33"/>
      <c r="H43" s="33"/>
      <c r="I43" s="33"/>
      <c r="J43" s="33"/>
      <c r="K43" s="33"/>
    </row>
    <row r="44" spans="1:11" ht="15.75" x14ac:dyDescent="0.25">
      <c r="B44" s="33"/>
      <c r="C44" s="33"/>
      <c r="D44" s="33"/>
      <c r="E44" s="33"/>
      <c r="F44" s="33"/>
      <c r="G44" s="33"/>
      <c r="H44" s="33"/>
      <c r="I44" s="33"/>
      <c r="J44" s="33"/>
      <c r="K44" s="33"/>
    </row>
    <row r="45" spans="1:11" ht="15.75" x14ac:dyDescent="0.25">
      <c r="B45" s="33"/>
      <c r="C45" s="33"/>
      <c r="D45" s="33"/>
      <c r="E45" s="33"/>
      <c r="F45" s="33"/>
      <c r="G45" s="33"/>
      <c r="H45" s="33"/>
      <c r="I45" s="33"/>
      <c r="J45" s="33"/>
      <c r="K45" s="33"/>
    </row>
    <row r="46" spans="1:11" ht="15.75" x14ac:dyDescent="0.25">
      <c r="B46" s="33"/>
      <c r="C46" s="33"/>
      <c r="D46" s="33"/>
      <c r="E46" s="33"/>
      <c r="F46" s="33"/>
      <c r="G46" s="33"/>
      <c r="H46" s="33"/>
      <c r="I46" s="33"/>
      <c r="J46" s="33"/>
      <c r="K46" s="33"/>
    </row>
    <row r="47" spans="1:11" ht="15.75" x14ac:dyDescent="0.25">
      <c r="B47" s="33"/>
      <c r="C47" s="33"/>
      <c r="D47" s="33"/>
      <c r="E47" s="33"/>
      <c r="F47" s="33"/>
      <c r="G47" s="33"/>
      <c r="H47" s="33"/>
      <c r="I47" s="33"/>
      <c r="J47" s="33"/>
      <c r="K47" s="33"/>
    </row>
    <row r="48" spans="1:11" ht="15.75" x14ac:dyDescent="0.25">
      <c r="B48" s="33"/>
      <c r="C48" s="33"/>
      <c r="D48" s="33"/>
      <c r="E48" s="33"/>
      <c r="F48" s="33"/>
      <c r="G48" s="33"/>
      <c r="H48" s="33"/>
      <c r="I48" s="33"/>
      <c r="J48" s="33"/>
      <c r="K48" s="33"/>
    </row>
    <row r="49" spans="2:11" ht="15.75" x14ac:dyDescent="0.25">
      <c r="B49" s="33"/>
      <c r="C49" s="33"/>
      <c r="D49" s="33"/>
      <c r="E49" s="33"/>
      <c r="F49" s="33"/>
      <c r="G49" s="33"/>
      <c r="H49" s="33"/>
      <c r="I49" s="33"/>
      <c r="J49" s="33"/>
      <c r="K49" s="33"/>
    </row>
    <row r="50" spans="2:11" ht="15.75" x14ac:dyDescent="0.25">
      <c r="B50" s="33"/>
      <c r="C50" s="33"/>
      <c r="D50" s="33"/>
      <c r="E50" s="33"/>
      <c r="F50" s="33"/>
      <c r="G50" s="33"/>
      <c r="H50" s="33"/>
      <c r="I50" s="33"/>
      <c r="J50" s="33"/>
      <c r="K50" s="33"/>
    </row>
    <row r="51" spans="2:11" ht="15.75" x14ac:dyDescent="0.25">
      <c r="B51" s="33"/>
      <c r="C51" s="33"/>
      <c r="D51" s="33"/>
      <c r="E51" s="33"/>
      <c r="F51" s="33"/>
      <c r="G51" s="33"/>
      <c r="H51" s="33"/>
      <c r="I51" s="33"/>
      <c r="J51" s="33"/>
      <c r="K51" s="33"/>
    </row>
    <row r="52" spans="2:11" ht="15.75" x14ac:dyDescent="0.25">
      <c r="B52" s="33"/>
      <c r="C52" s="33"/>
      <c r="D52" s="33"/>
      <c r="E52" s="33"/>
      <c r="F52" s="33"/>
      <c r="G52" s="33"/>
      <c r="H52" s="33"/>
      <c r="I52" s="33"/>
      <c r="J52" s="33"/>
      <c r="K52" s="33"/>
    </row>
    <row r="53" spans="2:11" ht="15.75" x14ac:dyDescent="0.25">
      <c r="B53" s="33"/>
      <c r="C53" s="33"/>
      <c r="D53" s="33"/>
      <c r="E53" s="33"/>
      <c r="F53" s="33"/>
      <c r="G53" s="33"/>
      <c r="H53" s="33"/>
      <c r="I53" s="33"/>
      <c r="J53" s="33"/>
      <c r="K53" s="33"/>
    </row>
    <row r="54" spans="2:11" ht="15.75" x14ac:dyDescent="0.25">
      <c r="B54" s="33"/>
      <c r="C54" s="33"/>
      <c r="D54" s="33"/>
      <c r="E54" s="33"/>
      <c r="F54" s="33"/>
      <c r="G54" s="33"/>
      <c r="H54" s="33"/>
      <c r="I54" s="33"/>
      <c r="J54" s="33"/>
      <c r="K54" s="33"/>
    </row>
    <row r="55" spans="2:11" ht="15.75" x14ac:dyDescent="0.25">
      <c r="B55" s="33"/>
      <c r="C55" s="33"/>
      <c r="D55" s="33"/>
      <c r="E55" s="33"/>
      <c r="F55" s="33"/>
      <c r="G55" s="33"/>
      <c r="H55" s="33"/>
      <c r="I55" s="33"/>
      <c r="J55" s="33"/>
      <c r="K55" s="33"/>
    </row>
    <row r="56" spans="2:11" ht="15.75" x14ac:dyDescent="0.25">
      <c r="B56" s="33"/>
      <c r="C56" s="33"/>
      <c r="D56" s="33"/>
      <c r="E56" s="33"/>
      <c r="F56" s="33"/>
      <c r="G56" s="33"/>
      <c r="H56" s="33"/>
      <c r="I56" s="33"/>
      <c r="J56" s="33"/>
      <c r="K56" s="33"/>
    </row>
    <row r="57" spans="2:11" ht="15.75" x14ac:dyDescent="0.25">
      <c r="B57" s="33"/>
      <c r="C57" s="33"/>
      <c r="D57" s="33"/>
      <c r="E57" s="33"/>
      <c r="F57" s="33"/>
      <c r="G57" s="33"/>
      <c r="H57" s="33"/>
      <c r="I57" s="33"/>
      <c r="J57" s="33"/>
      <c r="K57" s="33"/>
    </row>
  </sheetData>
  <mergeCells count="11">
    <mergeCell ref="C37:C38"/>
    <mergeCell ref="D37:E38"/>
    <mergeCell ref="F37:H38"/>
    <mergeCell ref="K5:L5"/>
    <mergeCell ref="D33:E33"/>
    <mergeCell ref="F33:H33"/>
    <mergeCell ref="C34:C35"/>
    <mergeCell ref="D34:E35"/>
    <mergeCell ref="F34:H35"/>
    <mergeCell ref="J25:K25"/>
    <mergeCell ref="J21:K21"/>
  </mergeCells>
  <pageMargins left="0.39370078740157483" right="0.59055118110236227" top="0" bottom="0.74803149606299213" header="0" footer="0.31496062992125984"/>
  <pageSetup paperSize="9" scale="65" fitToHeight="0" orientation="portrait" horizontalDpi="300" verticalDpi="300" r:id="rId1"/>
  <headerFooter scaleWithDoc="0" alignWithMargins="0">
    <oddFooter>&amp;L&amp;"Garamond,Normal"&amp;8DIRECTION DE LA SOLDE&amp;C&amp;12&amp;P/&amp;N&amp;R&amp;"Garamond,Normal"&amp;8SERVICE CONTROLE DE GESTION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CABC6-16EF-43F7-8355-3670546F483F}">
  <sheetPr codeName="Feuil7">
    <tabColor theme="7"/>
    <pageSetUpPr fitToPage="1"/>
  </sheetPr>
  <dimension ref="A1:L71"/>
  <sheetViews>
    <sheetView showGridLines="0" zoomScaleNormal="100" workbookViewId="0">
      <selection activeCell="C35" sqref="C35"/>
    </sheetView>
  </sheetViews>
  <sheetFormatPr baseColWidth="10" defaultColWidth="11.42578125" defaultRowHeight="12.75" x14ac:dyDescent="0.2"/>
  <cols>
    <col min="1" max="1" width="5.5703125" style="28" customWidth="1"/>
    <col min="2" max="2" width="32.7109375" style="29" bestFit="1" customWidth="1"/>
    <col min="3" max="3" width="27.5703125" style="29" customWidth="1"/>
    <col min="4" max="4" width="24.5703125" style="29" customWidth="1"/>
    <col min="5" max="5" width="15.5703125" style="29" customWidth="1"/>
    <col min="6" max="6" width="15.5703125" style="29" bestFit="1" customWidth="1"/>
    <col min="7" max="7" width="8.7109375" style="29" customWidth="1"/>
    <col min="8" max="8" width="9.85546875" style="29" bestFit="1" customWidth="1"/>
    <col min="9" max="9" width="11.42578125" style="29"/>
    <col min="10" max="10" width="6.140625" style="29" customWidth="1"/>
    <col min="11" max="11" width="18.5703125" style="29" customWidth="1"/>
    <col min="12" max="12" width="15.140625" style="29" customWidth="1"/>
    <col min="13" max="16384" width="11.42578125" style="29"/>
  </cols>
  <sheetData>
    <row r="1" spans="2:12" x14ac:dyDescent="0.2">
      <c r="B1" s="28"/>
    </row>
    <row r="2" spans="2:12" ht="6.75" customHeight="1" x14ac:dyDescent="0.2">
      <c r="B2" s="30"/>
    </row>
    <row r="3" spans="2:12" x14ac:dyDescent="0.2">
      <c r="B3" s="28"/>
    </row>
    <row r="4" spans="2:12" ht="7.5" customHeight="1" thickBot="1" x14ac:dyDescent="0.25">
      <c r="B4" s="30"/>
    </row>
    <row r="5" spans="2:12" ht="30.75" customHeight="1" x14ac:dyDescent="0.2">
      <c r="B5" s="31"/>
      <c r="K5" s="339" t="s">
        <v>330</v>
      </c>
      <c r="L5" s="340"/>
    </row>
    <row r="6" spans="2:12" ht="7.5" customHeight="1" thickBot="1" x14ac:dyDescent="0.25">
      <c r="B6" s="30"/>
      <c r="K6" s="63"/>
      <c r="L6" s="64"/>
    </row>
    <row r="7" spans="2:12" ht="16.5" thickBot="1" x14ac:dyDescent="0.25">
      <c r="B7" s="28"/>
      <c r="K7" s="102" t="s">
        <v>331</v>
      </c>
      <c r="L7" s="120">
        <v>2</v>
      </c>
    </row>
    <row r="8" spans="2:12" ht="6.75" customHeight="1" x14ac:dyDescent="0.2">
      <c r="B8" s="30"/>
    </row>
    <row r="9" spans="2:12" x14ac:dyDescent="0.2">
      <c r="B9" s="28"/>
    </row>
    <row r="10" spans="2:12" ht="8.25" customHeight="1" x14ac:dyDescent="0.2">
      <c r="B10" s="30"/>
    </row>
    <row r="11" spans="2:12" ht="23.25" customHeight="1" x14ac:dyDescent="0.2">
      <c r="B11" s="28"/>
      <c r="D11" s="28"/>
    </row>
    <row r="12" spans="2:12" ht="23.25" customHeight="1" x14ac:dyDescent="0.2">
      <c r="D12" s="28"/>
    </row>
    <row r="13" spans="2:12" x14ac:dyDescent="0.2">
      <c r="D13" s="28"/>
    </row>
    <row r="14" spans="2:12" ht="28.5" x14ac:dyDescent="0.45">
      <c r="B14" s="33"/>
      <c r="C14" s="341" t="s">
        <v>332</v>
      </c>
      <c r="D14" s="341"/>
      <c r="E14" s="341"/>
      <c r="F14" s="341"/>
      <c r="G14" s="35"/>
      <c r="H14" s="35"/>
      <c r="I14" s="35"/>
      <c r="J14" s="33"/>
      <c r="K14" s="33"/>
    </row>
    <row r="15" spans="2:12" ht="28.5" x14ac:dyDescent="0.45">
      <c r="B15" s="33"/>
      <c r="C15" s="69"/>
      <c r="D15" s="70" t="str">
        <f ca="1">TEXT(C16,"MMMM") &amp;" "&amp; (YEAR(C16))</f>
        <v>juin 2019</v>
      </c>
      <c r="E15" s="69"/>
      <c r="F15" s="69"/>
      <c r="G15" s="35"/>
      <c r="H15" s="35"/>
      <c r="I15" s="35"/>
      <c r="J15" s="33"/>
      <c r="K15" s="33"/>
    </row>
    <row r="16" spans="2:12" ht="15.75" x14ac:dyDescent="0.25">
      <c r="B16" s="33"/>
      <c r="C16" s="37">
        <f ca="1">TODAY()</f>
        <v>43622</v>
      </c>
      <c r="D16" s="36"/>
      <c r="E16" s="36"/>
      <c r="F16" s="36"/>
      <c r="G16" s="35"/>
      <c r="H16" s="35"/>
      <c r="I16" s="35"/>
      <c r="J16" s="33"/>
      <c r="K16" s="33"/>
    </row>
    <row r="17" spans="1:12" ht="45" customHeight="1" thickBot="1" x14ac:dyDescent="0.3">
      <c r="A17" s="94" t="s">
        <v>308</v>
      </c>
      <c r="B17" s="41" t="s">
        <v>211</v>
      </c>
      <c r="C17" s="43" t="s">
        <v>310</v>
      </c>
      <c r="D17" s="43" t="s">
        <v>333</v>
      </c>
      <c r="E17" s="62" t="s">
        <v>141</v>
      </c>
      <c r="F17" s="62" t="s">
        <v>312</v>
      </c>
      <c r="G17" s="62" t="s">
        <v>313</v>
      </c>
      <c r="H17" s="62" t="s">
        <v>314</v>
      </c>
      <c r="I17" s="33"/>
      <c r="J17" s="33"/>
      <c r="K17" s="184"/>
      <c r="L17" s="185"/>
    </row>
    <row r="18" spans="1:12" ht="89.25" thickBot="1" x14ac:dyDescent="1.3">
      <c r="A18" s="44">
        <v>1</v>
      </c>
      <c r="B18" s="60" t="s">
        <v>114</v>
      </c>
      <c r="C18" s="128"/>
      <c r="D18" s="129"/>
      <c r="E18" s="143"/>
      <c r="F18" s="106"/>
      <c r="G18" s="107"/>
      <c r="H18" s="127"/>
      <c r="I18" s="33"/>
      <c r="J18" s="33"/>
      <c r="K18" s="33"/>
    </row>
    <row r="19" spans="1:12" ht="89.25" thickBot="1" x14ac:dyDescent="1.3">
      <c r="A19" s="44">
        <v>2</v>
      </c>
      <c r="B19" s="60" t="s">
        <v>115</v>
      </c>
      <c r="C19" s="128"/>
      <c r="D19" s="129"/>
      <c r="E19" s="143"/>
      <c r="F19" s="106"/>
      <c r="G19" s="107"/>
      <c r="H19" s="127"/>
      <c r="I19" s="33"/>
      <c r="J19" s="33"/>
      <c r="K19" s="33"/>
    </row>
    <row r="20" spans="1:12" ht="89.25" thickBot="1" x14ac:dyDescent="1.3">
      <c r="A20" s="44">
        <v>3</v>
      </c>
      <c r="B20" s="60" t="s">
        <v>116</v>
      </c>
      <c r="C20" s="128"/>
      <c r="D20" s="129"/>
      <c r="E20" s="143"/>
      <c r="F20" s="106"/>
      <c r="G20" s="107"/>
      <c r="H20" s="127"/>
      <c r="I20" s="33"/>
      <c r="J20" s="33"/>
      <c r="K20" s="33"/>
    </row>
    <row r="21" spans="1:12" ht="89.25" thickBot="1" x14ac:dyDescent="1.3">
      <c r="A21" s="44">
        <v>4</v>
      </c>
      <c r="B21" s="60" t="s">
        <v>117</v>
      </c>
      <c r="C21" s="128"/>
      <c r="D21" s="129"/>
      <c r="E21" s="143"/>
      <c r="F21" s="106"/>
      <c r="G21" s="107"/>
      <c r="H21" s="127"/>
      <c r="I21" s="33"/>
      <c r="J21" s="33"/>
      <c r="K21" s="33"/>
    </row>
    <row r="22" spans="1:12" ht="89.25" thickBot="1" x14ac:dyDescent="1.3">
      <c r="A22" s="44">
        <v>5</v>
      </c>
      <c r="B22" s="60" t="s">
        <v>45</v>
      </c>
      <c r="C22" s="128"/>
      <c r="D22" s="129"/>
      <c r="E22" s="143"/>
      <c r="F22" s="106"/>
      <c r="G22" s="107"/>
      <c r="H22" s="127"/>
      <c r="I22" s="33"/>
      <c r="J22" s="33"/>
      <c r="K22" s="33"/>
    </row>
    <row r="23" spans="1:12" ht="89.25" thickBot="1" x14ac:dyDescent="1.3">
      <c r="A23" s="44">
        <v>6</v>
      </c>
      <c r="B23" s="60" t="s">
        <v>46</v>
      </c>
      <c r="C23" s="128"/>
      <c r="D23" s="129"/>
      <c r="E23" s="143"/>
      <c r="F23" s="106"/>
      <c r="G23" s="107"/>
      <c r="H23" s="127"/>
      <c r="I23" s="33"/>
      <c r="J23" s="33"/>
      <c r="K23" s="33"/>
    </row>
    <row r="24" spans="1:12" ht="89.25" thickBot="1" x14ac:dyDescent="1.3">
      <c r="A24" s="44">
        <v>7</v>
      </c>
      <c r="B24" s="60" t="s">
        <v>50</v>
      </c>
      <c r="C24" s="128"/>
      <c r="D24" s="129"/>
      <c r="E24" s="143"/>
      <c r="F24" s="106"/>
      <c r="G24" s="107"/>
      <c r="H24" s="127"/>
      <c r="I24" s="33"/>
      <c r="J24" s="33"/>
      <c r="K24" s="33"/>
    </row>
    <row r="25" spans="1:12" ht="89.25" thickBot="1" x14ac:dyDescent="1.3">
      <c r="A25" s="44">
        <v>8</v>
      </c>
      <c r="B25" s="60" t="s">
        <v>58</v>
      </c>
      <c r="C25" s="128"/>
      <c r="D25" s="129"/>
      <c r="E25" s="143"/>
      <c r="F25" s="106"/>
      <c r="G25" s="107"/>
      <c r="H25" s="127"/>
      <c r="I25" s="33"/>
      <c r="J25" s="33"/>
      <c r="K25" s="33"/>
    </row>
    <row r="26" spans="1:12" ht="89.25" thickBot="1" x14ac:dyDescent="1.3">
      <c r="A26" s="44">
        <v>9</v>
      </c>
      <c r="B26" s="60" t="s">
        <v>49</v>
      </c>
      <c r="C26" s="128"/>
      <c r="D26" s="129"/>
      <c r="E26" s="143"/>
      <c r="F26" s="106"/>
      <c r="G26" s="107"/>
      <c r="H26" s="127"/>
      <c r="I26" s="33"/>
      <c r="J26" s="33"/>
      <c r="K26" s="33"/>
    </row>
    <row r="27" spans="1:12" ht="89.25" thickBot="1" x14ac:dyDescent="1.3">
      <c r="A27" s="44">
        <v>10</v>
      </c>
      <c r="B27" s="60" t="s">
        <v>33</v>
      </c>
      <c r="C27" s="128"/>
      <c r="D27" s="129"/>
      <c r="E27" s="143"/>
      <c r="F27" s="106"/>
      <c r="G27" s="107"/>
      <c r="H27" s="127"/>
      <c r="I27" s="33"/>
      <c r="J27" s="33"/>
      <c r="K27" s="33"/>
    </row>
    <row r="28" spans="1:12" ht="89.25" thickBot="1" x14ac:dyDescent="1.3">
      <c r="A28" s="44">
        <v>11</v>
      </c>
      <c r="B28" s="60" t="s">
        <v>59</v>
      </c>
      <c r="C28" s="128"/>
      <c r="D28" s="129"/>
      <c r="E28" s="143"/>
      <c r="F28" s="106"/>
      <c r="G28" s="107"/>
      <c r="H28" s="127"/>
      <c r="I28" s="33"/>
      <c r="J28" s="33"/>
      <c r="K28" s="33"/>
    </row>
    <row r="29" spans="1:12" ht="89.25" thickBot="1" x14ac:dyDescent="1.3">
      <c r="A29" s="44">
        <v>12</v>
      </c>
      <c r="B29" s="60" t="s">
        <v>60</v>
      </c>
      <c r="C29" s="128"/>
      <c r="D29" s="129"/>
      <c r="E29" s="143"/>
      <c r="F29" s="106"/>
      <c r="G29" s="107"/>
      <c r="H29" s="127"/>
      <c r="I29" s="33"/>
      <c r="J29" s="33"/>
      <c r="K29" s="33"/>
    </row>
    <row r="30" spans="1:12" ht="89.25" thickBot="1" x14ac:dyDescent="1.3">
      <c r="A30" s="44">
        <v>13</v>
      </c>
      <c r="B30" s="60" t="s">
        <v>27</v>
      </c>
      <c r="C30" s="128"/>
      <c r="D30" s="129"/>
      <c r="E30" s="143"/>
      <c r="F30" s="106"/>
      <c r="G30" s="107"/>
      <c r="H30" s="127"/>
      <c r="I30" s="33"/>
      <c r="J30" s="33"/>
      <c r="K30" s="33"/>
    </row>
    <row r="31" spans="1:12" ht="89.25" thickBot="1" x14ac:dyDescent="1.3">
      <c r="A31" s="44">
        <v>14</v>
      </c>
      <c r="B31" s="60" t="s">
        <v>61</v>
      </c>
      <c r="C31" s="128"/>
      <c r="D31" s="129"/>
      <c r="E31" s="143"/>
      <c r="F31" s="106"/>
      <c r="G31" s="107"/>
      <c r="H31" s="127"/>
      <c r="I31" s="33"/>
      <c r="J31" s="33"/>
      <c r="K31" s="33"/>
    </row>
    <row r="32" spans="1:12" ht="89.25" thickBot="1" x14ac:dyDescent="1.3">
      <c r="A32" s="44">
        <v>15</v>
      </c>
      <c r="B32" s="60" t="s">
        <v>62</v>
      </c>
      <c r="C32" s="128"/>
      <c r="D32" s="129"/>
      <c r="E32" s="143"/>
      <c r="F32" s="106"/>
      <c r="G32" s="107"/>
      <c r="H32" s="127"/>
      <c r="I32" s="33"/>
      <c r="J32" s="33"/>
      <c r="K32" s="33"/>
    </row>
    <row r="33" spans="1:11" ht="89.25" thickBot="1" x14ac:dyDescent="1.3">
      <c r="A33" s="44">
        <v>16</v>
      </c>
      <c r="B33" s="60" t="s">
        <v>63</v>
      </c>
      <c r="C33" s="128"/>
      <c r="D33" s="129"/>
      <c r="E33" s="186"/>
      <c r="F33" s="106"/>
      <c r="G33" s="107"/>
      <c r="H33" s="127"/>
      <c r="I33" s="33"/>
      <c r="J33" s="33"/>
      <c r="K33" s="33"/>
    </row>
    <row r="34" spans="1:11" ht="89.25" thickBot="1" x14ac:dyDescent="1.3">
      <c r="A34" s="44">
        <v>17</v>
      </c>
      <c r="B34" s="60" t="s">
        <v>64</v>
      </c>
      <c r="C34" s="128"/>
      <c r="D34" s="129"/>
      <c r="E34" s="143"/>
      <c r="F34" s="106"/>
      <c r="G34" s="107"/>
      <c r="H34" s="127"/>
      <c r="I34" s="33"/>
      <c r="J34" s="33"/>
      <c r="K34" s="33"/>
    </row>
    <row r="35" spans="1:11" ht="89.25" thickBot="1" x14ac:dyDescent="1.3">
      <c r="A35" s="44">
        <v>18</v>
      </c>
      <c r="B35" s="60" t="s">
        <v>28</v>
      </c>
      <c r="C35" s="128"/>
      <c r="D35" s="129"/>
      <c r="E35" s="143"/>
      <c r="F35" s="106"/>
      <c r="G35" s="107"/>
      <c r="H35" s="127"/>
      <c r="I35" s="33"/>
      <c r="J35" s="33"/>
      <c r="K35" s="33"/>
    </row>
    <row r="36" spans="1:11" ht="89.25" thickBot="1" x14ac:dyDescent="1.3">
      <c r="A36" s="44">
        <v>19</v>
      </c>
      <c r="B36" s="60" t="s">
        <v>65</v>
      </c>
      <c r="C36" s="128"/>
      <c r="D36" s="129"/>
      <c r="E36" s="143"/>
      <c r="F36" s="106"/>
      <c r="G36" s="107"/>
      <c r="H36" s="127"/>
      <c r="I36" s="33"/>
      <c r="J36" s="33"/>
      <c r="K36" s="33"/>
    </row>
    <row r="37" spans="1:11" ht="89.25" thickBot="1" x14ac:dyDescent="1.3">
      <c r="A37" s="44">
        <v>20</v>
      </c>
      <c r="B37" s="60" t="s">
        <v>66</v>
      </c>
      <c r="C37" s="128"/>
      <c r="D37" s="129"/>
      <c r="E37" s="143"/>
      <c r="F37" s="106"/>
      <c r="G37" s="107"/>
      <c r="H37" s="127"/>
      <c r="I37" s="33"/>
      <c r="J37" s="33"/>
      <c r="K37" s="33"/>
    </row>
    <row r="38" spans="1:11" ht="89.25" thickBot="1" x14ac:dyDescent="1.3">
      <c r="A38" s="44">
        <v>21</v>
      </c>
      <c r="B38" s="60" t="s">
        <v>67</v>
      </c>
      <c r="C38" s="128"/>
      <c r="D38" s="129"/>
      <c r="E38" s="143"/>
      <c r="F38" s="106"/>
      <c r="G38" s="107"/>
      <c r="H38" s="127"/>
      <c r="I38" s="33"/>
      <c r="J38" s="33"/>
      <c r="K38" s="33"/>
    </row>
    <row r="39" spans="1:11" ht="89.25" thickBot="1" x14ac:dyDescent="1.3">
      <c r="A39" s="44">
        <v>22</v>
      </c>
      <c r="B39" s="60" t="s">
        <v>68</v>
      </c>
      <c r="C39" s="128"/>
      <c r="D39" s="129"/>
      <c r="E39" s="143"/>
      <c r="F39" s="106"/>
      <c r="G39" s="107"/>
      <c r="H39" s="127"/>
      <c r="I39" s="33"/>
      <c r="J39" s="33"/>
      <c r="K39" s="33"/>
    </row>
    <row r="40" spans="1:11" ht="89.25" thickBot="1" x14ac:dyDescent="1.3">
      <c r="A40" s="44">
        <v>23</v>
      </c>
      <c r="B40" s="60" t="s">
        <v>126</v>
      </c>
      <c r="C40" s="128"/>
      <c r="D40" s="129"/>
      <c r="E40" s="143"/>
      <c r="F40" s="106"/>
      <c r="G40" s="107"/>
      <c r="H40" s="127"/>
      <c r="I40" s="33"/>
      <c r="J40" s="33"/>
      <c r="K40" s="33"/>
    </row>
    <row r="41" spans="1:11" ht="88.5" x14ac:dyDescent="1.25">
      <c r="A41" s="44">
        <v>25</v>
      </c>
      <c r="B41" s="130">
        <v>178</v>
      </c>
      <c r="C41" s="131"/>
      <c r="D41" s="132"/>
      <c r="E41" s="143"/>
      <c r="F41" s="106"/>
      <c r="G41" s="107"/>
      <c r="H41" s="127"/>
      <c r="I41" s="33"/>
      <c r="J41" s="33"/>
      <c r="K41" s="33"/>
    </row>
    <row r="42" spans="1:11" ht="88.5" x14ac:dyDescent="1.25">
      <c r="A42" s="44">
        <v>26</v>
      </c>
      <c r="B42" s="60">
        <v>184</v>
      </c>
      <c r="C42" s="133"/>
      <c r="D42" s="133"/>
      <c r="E42" s="143"/>
      <c r="F42" s="108"/>
      <c r="G42" s="109"/>
      <c r="H42" s="127"/>
      <c r="I42" s="33"/>
      <c r="J42" s="33"/>
      <c r="K42" s="33"/>
    </row>
    <row r="43" spans="1:11" ht="88.5" x14ac:dyDescent="1.25">
      <c r="A43" s="44">
        <v>27</v>
      </c>
      <c r="B43" s="60">
        <v>187</v>
      </c>
      <c r="C43" s="133"/>
      <c r="D43" s="133"/>
      <c r="E43" s="143"/>
      <c r="F43" s="108"/>
      <c r="G43" s="109"/>
      <c r="H43" s="127"/>
      <c r="I43" s="33"/>
      <c r="J43" s="33"/>
      <c r="K43" s="33"/>
    </row>
    <row r="44" spans="1:11" ht="88.5" x14ac:dyDescent="1.25">
      <c r="A44" s="44">
        <v>28</v>
      </c>
      <c r="B44" s="60">
        <v>190</v>
      </c>
      <c r="C44" s="133"/>
      <c r="D44" s="133"/>
      <c r="E44" s="143"/>
      <c r="F44" s="108"/>
      <c r="G44" s="109"/>
      <c r="H44" s="127"/>
      <c r="I44" s="33"/>
      <c r="J44" s="33"/>
      <c r="K44" s="33"/>
    </row>
    <row r="45" spans="1:11" ht="88.5" x14ac:dyDescent="1.25">
      <c r="A45" s="52">
        <v>29</v>
      </c>
      <c r="B45" s="124">
        <v>193</v>
      </c>
      <c r="C45" s="125"/>
      <c r="D45" s="126"/>
      <c r="E45" s="143"/>
      <c r="F45" s="121"/>
      <c r="G45" s="122"/>
      <c r="H45" s="123"/>
      <c r="I45" s="33"/>
      <c r="J45" s="33"/>
      <c r="K45" s="33"/>
    </row>
    <row r="46" spans="1:11" ht="15.75" x14ac:dyDescent="0.25">
      <c r="A46" s="103"/>
      <c r="B46" s="71"/>
      <c r="C46" s="71"/>
      <c r="D46" s="71"/>
      <c r="E46" s="71"/>
      <c r="F46" s="71"/>
      <c r="G46" s="71"/>
      <c r="H46" s="71"/>
      <c r="I46" s="33"/>
      <c r="J46" s="33"/>
      <c r="K46" s="33"/>
    </row>
    <row r="47" spans="1:11" ht="15.75" customHeight="1" thickBot="1" x14ac:dyDescent="0.35">
      <c r="A47" s="103"/>
      <c r="B47" s="71"/>
      <c r="C47" s="71"/>
      <c r="D47" s="322" t="s">
        <v>315</v>
      </c>
      <c r="E47" s="322"/>
      <c r="F47" s="322" t="s">
        <v>316</v>
      </c>
      <c r="G47" s="322"/>
      <c r="H47" s="322"/>
      <c r="I47" s="33"/>
      <c r="J47" s="33"/>
      <c r="K47" s="33"/>
    </row>
    <row r="48" spans="1:11" ht="16.5" customHeight="1" x14ac:dyDescent="0.25">
      <c r="A48" s="103"/>
      <c r="B48" s="71"/>
      <c r="C48" s="313" t="s">
        <v>317</v>
      </c>
      <c r="D48" s="323" t="s">
        <v>318</v>
      </c>
      <c r="E48" s="324"/>
      <c r="F48" s="323"/>
      <c r="G48" s="327"/>
      <c r="H48" s="324"/>
      <c r="I48" s="33"/>
      <c r="J48" s="33"/>
      <c r="K48" s="33"/>
    </row>
    <row r="49" spans="1:11" ht="16.5" thickBot="1" x14ac:dyDescent="0.3">
      <c r="A49" s="103"/>
      <c r="B49" s="71"/>
      <c r="C49" s="313"/>
      <c r="D49" s="325"/>
      <c r="E49" s="326"/>
      <c r="F49" s="325"/>
      <c r="G49" s="328"/>
      <c r="H49" s="326"/>
      <c r="I49" s="33"/>
      <c r="J49" s="33"/>
      <c r="K49" s="33"/>
    </row>
    <row r="50" spans="1:11" ht="15.75" customHeight="1" thickBot="1" x14ac:dyDescent="0.3">
      <c r="A50" s="103"/>
      <c r="B50" s="71"/>
      <c r="C50" s="71"/>
      <c r="D50" s="71"/>
      <c r="E50" s="71"/>
      <c r="F50" s="71"/>
      <c r="G50" s="71"/>
      <c r="H50" s="71"/>
      <c r="I50" s="33"/>
      <c r="J50" s="33"/>
      <c r="K50" s="33"/>
    </row>
    <row r="51" spans="1:11" ht="16.5" customHeight="1" x14ac:dyDescent="0.25">
      <c r="A51" s="103"/>
      <c r="B51" s="71"/>
      <c r="C51" s="313" t="s">
        <v>319</v>
      </c>
      <c r="D51" s="314" t="str">
        <f>IF(SUM(E18:E45)=0,"",SUM(E18:E45))</f>
        <v/>
      </c>
      <c r="E51" s="315"/>
      <c r="F51" s="314"/>
      <c r="G51" s="318"/>
      <c r="H51" s="315"/>
      <c r="I51" s="33"/>
      <c r="J51" s="33"/>
      <c r="K51" s="33"/>
    </row>
    <row r="52" spans="1:11" ht="16.5" thickBot="1" x14ac:dyDescent="0.3">
      <c r="A52" s="103"/>
      <c r="B52" s="71"/>
      <c r="C52" s="313"/>
      <c r="D52" s="316"/>
      <c r="E52" s="317"/>
      <c r="F52" s="316"/>
      <c r="G52" s="319"/>
      <c r="H52" s="317"/>
      <c r="I52" s="33"/>
      <c r="J52" s="33"/>
      <c r="K52" s="33"/>
    </row>
    <row r="53" spans="1:11" ht="15.75" x14ac:dyDescent="0.25">
      <c r="B53" s="33"/>
      <c r="C53" s="33"/>
      <c r="D53" s="33"/>
      <c r="E53" s="33"/>
      <c r="F53" s="33"/>
      <c r="G53" s="33"/>
      <c r="H53" s="33"/>
      <c r="I53" s="33"/>
      <c r="J53" s="33"/>
      <c r="K53" s="33"/>
    </row>
    <row r="54" spans="1:11" ht="15.75" x14ac:dyDescent="0.25">
      <c r="B54" s="33"/>
      <c r="C54" s="33"/>
      <c r="D54" s="33"/>
      <c r="E54" s="33"/>
      <c r="F54" s="33"/>
      <c r="G54" s="33"/>
      <c r="H54" s="33"/>
      <c r="I54" s="33"/>
      <c r="J54" s="33"/>
      <c r="K54" s="33"/>
    </row>
    <row r="55" spans="1:11" ht="15.75" x14ac:dyDescent="0.25">
      <c r="B55" s="33"/>
      <c r="C55" s="33"/>
      <c r="D55" s="33"/>
      <c r="E55" s="33"/>
      <c r="F55" s="33"/>
      <c r="G55" s="33"/>
      <c r="H55" s="33"/>
      <c r="I55" s="33"/>
      <c r="J55" s="33"/>
      <c r="K55" s="33"/>
    </row>
    <row r="56" spans="1:11" ht="15.75" x14ac:dyDescent="0.25">
      <c r="B56" s="33"/>
      <c r="C56" s="33"/>
      <c r="D56" s="33"/>
      <c r="E56" s="33"/>
      <c r="F56" s="33"/>
      <c r="G56" s="33"/>
      <c r="H56" s="33"/>
      <c r="I56" s="33"/>
      <c r="J56" s="33"/>
      <c r="K56" s="33"/>
    </row>
    <row r="57" spans="1:11" ht="15.75" x14ac:dyDescent="0.25">
      <c r="B57" s="33"/>
      <c r="C57" s="33"/>
      <c r="D57" s="33"/>
      <c r="E57" s="33"/>
      <c r="F57" s="33"/>
      <c r="G57" s="33"/>
      <c r="H57" s="33"/>
      <c r="I57" s="33"/>
      <c r="J57" s="33"/>
      <c r="K57" s="33"/>
    </row>
    <row r="58" spans="1:11" ht="15.75" x14ac:dyDescent="0.25">
      <c r="B58" s="33"/>
      <c r="C58" s="33"/>
      <c r="D58" s="33"/>
      <c r="E58" s="33"/>
      <c r="F58" s="33"/>
      <c r="G58" s="33"/>
      <c r="H58" s="33"/>
      <c r="I58" s="33"/>
      <c r="J58" s="33"/>
      <c r="K58" s="33"/>
    </row>
    <row r="59" spans="1:11" ht="15.75" x14ac:dyDescent="0.25">
      <c r="B59" s="33"/>
      <c r="C59" s="33"/>
      <c r="D59" s="33"/>
      <c r="E59" s="33"/>
      <c r="F59" s="33"/>
      <c r="G59" s="33"/>
      <c r="H59" s="33"/>
      <c r="I59" s="33"/>
      <c r="J59" s="33"/>
      <c r="K59" s="33"/>
    </row>
    <row r="60" spans="1:11" ht="15.75" x14ac:dyDescent="0.25">
      <c r="B60" s="33"/>
      <c r="C60" s="33"/>
      <c r="D60" s="33"/>
      <c r="E60" s="33"/>
      <c r="F60" s="33"/>
      <c r="G60" s="33"/>
      <c r="H60" s="33"/>
      <c r="I60" s="33"/>
      <c r="J60" s="33"/>
      <c r="K60" s="33"/>
    </row>
    <row r="61" spans="1:11" ht="15.75" x14ac:dyDescent="0.25">
      <c r="B61" s="33"/>
      <c r="C61" s="33"/>
      <c r="D61" s="33"/>
      <c r="E61" s="33"/>
      <c r="F61" s="33"/>
      <c r="G61" s="33"/>
      <c r="H61" s="33"/>
      <c r="I61" s="33"/>
      <c r="J61" s="33"/>
      <c r="K61" s="33"/>
    </row>
    <row r="62" spans="1:11" ht="15.75" x14ac:dyDescent="0.25">
      <c r="B62" s="33"/>
      <c r="C62" s="33"/>
      <c r="D62" s="33"/>
      <c r="E62" s="33"/>
      <c r="F62" s="33"/>
      <c r="G62" s="33"/>
      <c r="H62" s="33"/>
      <c r="I62" s="33"/>
      <c r="J62" s="33"/>
      <c r="K62" s="33"/>
    </row>
    <row r="63" spans="1:11" ht="15.75" x14ac:dyDescent="0.25">
      <c r="B63" s="33"/>
      <c r="C63" s="33"/>
      <c r="D63" s="33"/>
      <c r="E63" s="33"/>
      <c r="F63" s="33"/>
      <c r="G63" s="33"/>
      <c r="H63" s="33"/>
      <c r="I63" s="33"/>
      <c r="J63" s="33"/>
      <c r="K63" s="33"/>
    </row>
    <row r="64" spans="1:11" ht="15.75" x14ac:dyDescent="0.25">
      <c r="B64" s="33"/>
      <c r="C64" s="33"/>
      <c r="D64" s="33"/>
      <c r="E64" s="33"/>
      <c r="F64" s="33"/>
      <c r="G64" s="33"/>
      <c r="H64" s="33"/>
      <c r="I64" s="33"/>
      <c r="J64" s="33"/>
      <c r="K64" s="33"/>
    </row>
    <row r="65" spans="2:11" ht="15.75" x14ac:dyDescent="0.25">
      <c r="B65" s="33"/>
      <c r="C65" s="33"/>
      <c r="D65" s="33"/>
      <c r="E65" s="33"/>
      <c r="F65" s="33"/>
      <c r="G65" s="33"/>
      <c r="H65" s="33"/>
      <c r="I65" s="33"/>
      <c r="J65" s="33"/>
      <c r="K65" s="33"/>
    </row>
    <row r="66" spans="2:11" ht="15.75" x14ac:dyDescent="0.25">
      <c r="B66" s="33"/>
      <c r="C66" s="33"/>
      <c r="D66" s="33"/>
      <c r="E66" s="33"/>
      <c r="F66" s="33"/>
      <c r="G66" s="33"/>
      <c r="H66" s="33"/>
      <c r="I66" s="33"/>
      <c r="J66" s="33"/>
      <c r="K66" s="33"/>
    </row>
    <row r="67" spans="2:11" ht="15.75" x14ac:dyDescent="0.25">
      <c r="B67" s="33"/>
      <c r="C67" s="33"/>
      <c r="D67" s="33"/>
      <c r="E67" s="33"/>
      <c r="F67" s="33"/>
      <c r="G67" s="33"/>
      <c r="H67" s="33"/>
      <c r="I67" s="33"/>
      <c r="J67" s="33"/>
      <c r="K67" s="33"/>
    </row>
    <row r="68" spans="2:11" ht="15.75" x14ac:dyDescent="0.25">
      <c r="B68" s="33"/>
      <c r="C68" s="33"/>
      <c r="D68" s="33"/>
      <c r="E68" s="33"/>
      <c r="F68" s="33"/>
      <c r="G68" s="33"/>
      <c r="H68" s="33"/>
      <c r="I68" s="33"/>
      <c r="J68" s="33"/>
      <c r="K68" s="33"/>
    </row>
    <row r="69" spans="2:11" ht="15.75" x14ac:dyDescent="0.25">
      <c r="B69" s="33"/>
      <c r="C69" s="33"/>
      <c r="D69" s="33"/>
      <c r="E69" s="33"/>
      <c r="F69" s="33"/>
      <c r="G69" s="33"/>
      <c r="H69" s="33"/>
      <c r="I69" s="33"/>
      <c r="J69" s="33"/>
      <c r="K69" s="33"/>
    </row>
    <row r="70" spans="2:11" ht="15.75" x14ac:dyDescent="0.25">
      <c r="B70" s="33"/>
      <c r="C70" s="33"/>
      <c r="D70" s="33"/>
      <c r="E70" s="33"/>
      <c r="F70" s="33"/>
      <c r="G70" s="33"/>
      <c r="H70" s="33"/>
      <c r="I70" s="33"/>
      <c r="J70" s="33"/>
      <c r="K70" s="33"/>
    </row>
    <row r="71" spans="2:11" ht="15.75" x14ac:dyDescent="0.25">
      <c r="B71" s="33"/>
      <c r="C71" s="33"/>
      <c r="D71" s="33"/>
      <c r="E71" s="33"/>
      <c r="F71" s="33"/>
      <c r="G71" s="33"/>
      <c r="H71" s="33"/>
      <c r="I71" s="33"/>
      <c r="J71" s="33"/>
      <c r="K71" s="33"/>
    </row>
  </sheetData>
  <mergeCells count="10">
    <mergeCell ref="C51:C52"/>
    <mergeCell ref="D51:E52"/>
    <mergeCell ref="F51:H52"/>
    <mergeCell ref="K5:L5"/>
    <mergeCell ref="C14:F14"/>
    <mergeCell ref="D47:E47"/>
    <mergeCell ref="F47:H47"/>
    <mergeCell ref="C48:C49"/>
    <mergeCell ref="D48:E49"/>
    <mergeCell ref="F48:H49"/>
  </mergeCells>
  <pageMargins left="0.39370078740157483" right="0.59055118110236227" top="0" bottom="0.74803149606299213" header="0" footer="0.31496062992125984"/>
  <pageSetup paperSize="9" scale="66" fitToHeight="0" orientation="portrait" horizontalDpi="300" verticalDpi="300" r:id="rId1"/>
  <headerFooter scaleWithDoc="0" alignWithMargins="0">
    <oddFooter>&amp;L&amp;"Garamond,Normal"&amp;8DIRECTION DE LA SOLDE&amp;C&amp;12&amp;P/&amp;N&amp;R&amp;"Garamond,Normal"&amp;8SERVICE CONTROLE DE GESTION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8</vt:i4>
      </vt:variant>
    </vt:vector>
  </HeadingPairs>
  <TitlesOfParts>
    <vt:vector size="21" baseType="lpstr">
      <vt:lpstr>Feuil1</vt:lpstr>
      <vt:lpstr>ACCUEIL</vt:lpstr>
      <vt:lpstr>MENU_ADMIN</vt:lpstr>
      <vt:lpstr>MEMBRES</vt:lpstr>
      <vt:lpstr>TABLO_2_BORD</vt:lpstr>
      <vt:lpstr>MASSE_SALARIALE</vt:lpstr>
      <vt:lpstr>Histoire_MASSE_SALARIALE</vt:lpstr>
      <vt:lpstr>BDC_LOT_N°_1</vt:lpstr>
      <vt:lpstr>BDC_LOT_N°_2</vt:lpstr>
      <vt:lpstr>BDC_LOT_N°_3</vt:lpstr>
      <vt:lpstr>BDC_LOT_N°_4</vt:lpstr>
      <vt:lpstr>BDC_LOT_N°_5</vt:lpstr>
      <vt:lpstr>BDC_PRESALAIRE_LOT_N°_6</vt:lpstr>
      <vt:lpstr>BDC_LOT_N°_1!Zone_d_impression</vt:lpstr>
      <vt:lpstr>BDC_LOT_N°_2!Zone_d_impression</vt:lpstr>
      <vt:lpstr>BDC_LOT_N°_3!Zone_d_impression</vt:lpstr>
      <vt:lpstr>BDC_LOT_N°_4!Zone_d_impression</vt:lpstr>
      <vt:lpstr>BDC_LOT_N°_5!Zone_d_impression</vt:lpstr>
      <vt:lpstr>BDC_PRESALAIRE_LOT_N°_6!Zone_d_impression</vt:lpstr>
      <vt:lpstr>MENU_ADMIN!Zone_d_impression</vt:lpstr>
      <vt:lpstr>MENU_USER!Zone_d_impression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200</dc:creator>
  <cp:keywords/>
  <dc:description/>
  <cp:lastModifiedBy>alexTagne</cp:lastModifiedBy>
  <cp:revision/>
  <cp:lastPrinted>2019-06-03T11:34:28Z</cp:lastPrinted>
  <dcterms:created xsi:type="dcterms:W3CDTF">2019-04-20T11:12:54Z</dcterms:created>
  <dcterms:modified xsi:type="dcterms:W3CDTF">2019-06-06T09:59:54Z</dcterms:modified>
  <cp:category/>
  <cp:contentStatus/>
</cp:coreProperties>
</file>